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8600CC7BE14653/Desktop/"/>
    </mc:Choice>
  </mc:AlternateContent>
  <xr:revisionPtr revIDLastSave="0" documentId="8_{D91673C0-791B-42DB-8EF2-A49CD708199C}" xr6:coauthVersionLast="47" xr6:coauthVersionMax="47" xr10:uidLastSave="{00000000-0000-0000-0000-000000000000}"/>
  <bookViews>
    <workbookView xWindow="-108" yWindow="-108" windowWidth="23256" windowHeight="13896" xr2:uid="{30CE44B2-65DD-4024-AB82-CD572865D7DA}"/>
  </bookViews>
  <sheets>
    <sheet name="מודל נדל&quot;ן Pro" sheetId="4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7" i="4" l="1"/>
  <c r="T46" i="4"/>
  <c r="T45" i="4"/>
  <c r="T44" i="4"/>
  <c r="T43" i="4"/>
  <c r="T42" i="4"/>
  <c r="T41" i="4"/>
  <c r="T40" i="4"/>
  <c r="T39" i="4"/>
  <c r="T38" i="4"/>
  <c r="P27" i="4"/>
  <c r="P29" i="4" s="1"/>
  <c r="R52" i="4" s="1"/>
  <c r="P26" i="4"/>
  <c r="P24" i="4"/>
  <c r="R54" i="4"/>
  <c r="R53" i="4"/>
  <c r="R51" i="4"/>
  <c r="U16" i="4"/>
  <c r="U17" i="4"/>
  <c r="U12" i="4" l="1"/>
  <c r="U13" i="4"/>
  <c r="U23" i="4"/>
  <c r="U14" i="4" l="1"/>
  <c r="U25" i="4" l="1"/>
  <c r="C14" i="4" l="1"/>
  <c r="L12" i="4"/>
  <c r="K12" i="4"/>
  <c r="J12" i="4"/>
  <c r="I12" i="4"/>
  <c r="H12" i="4"/>
  <c r="G12" i="4"/>
  <c r="A44" i="4"/>
  <c r="H43" i="4"/>
  <c r="B43" i="4"/>
  <c r="A43" i="4"/>
  <c r="H42" i="4"/>
  <c r="D42" i="4"/>
  <c r="C42" i="4"/>
  <c r="E42" i="4" s="1"/>
  <c r="B42" i="4"/>
  <c r="P8" i="4"/>
  <c r="P7" i="4"/>
  <c r="L11" i="4"/>
  <c r="K11" i="4"/>
  <c r="J11" i="4"/>
  <c r="I11" i="4"/>
  <c r="H11" i="4"/>
  <c r="G11" i="4"/>
  <c r="L10" i="4"/>
  <c r="L13" i="4" s="1"/>
  <c r="K10" i="4"/>
  <c r="K13" i="4" s="1"/>
  <c r="J10" i="4"/>
  <c r="J13" i="4" s="1"/>
  <c r="I10" i="4"/>
  <c r="I13" i="4" s="1"/>
  <c r="H10" i="4"/>
  <c r="H13" i="4" s="1"/>
  <c r="G10" i="4"/>
  <c r="C27" i="4"/>
  <c r="C23" i="4"/>
  <c r="C16" i="4"/>
  <c r="C10" i="4"/>
  <c r="C8" i="4"/>
  <c r="C11" i="4" s="1"/>
  <c r="U24" i="4" l="1"/>
  <c r="F42" i="4"/>
  <c r="G42" i="4" s="1"/>
  <c r="C43" i="4" s="1"/>
  <c r="D43" i="4" s="1"/>
  <c r="U18" i="4"/>
  <c r="U19" i="4" s="1"/>
  <c r="U21" i="4" s="1"/>
  <c r="P13" i="4"/>
  <c r="P20" i="4" s="1"/>
  <c r="P22" i="4" s="1"/>
  <c r="A45" i="4"/>
  <c r="B44" i="4"/>
  <c r="G16" i="4"/>
  <c r="G15" i="4"/>
  <c r="G13" i="4"/>
  <c r="C25" i="4"/>
  <c r="E43" i="4" l="1"/>
  <c r="F43" i="4" s="1"/>
  <c r="G43" i="4" s="1"/>
  <c r="C44" i="4" s="1"/>
  <c r="D44" i="4" s="1"/>
  <c r="U26" i="4"/>
  <c r="U27" i="4" s="1"/>
  <c r="R57" i="4"/>
  <c r="I42" i="4"/>
  <c r="J42" i="4" s="1"/>
  <c r="K42" i="4" s="1"/>
  <c r="I43" i="4"/>
  <c r="J43" i="4" s="1"/>
  <c r="C28" i="4"/>
  <c r="B45" i="4"/>
  <c r="H45" i="4"/>
  <c r="I45" i="4"/>
  <c r="A46" i="4"/>
  <c r="H44" i="4"/>
  <c r="I44" i="4"/>
  <c r="E44" i="4" l="1"/>
  <c r="F44" i="4" s="1"/>
  <c r="G44" i="4" s="1"/>
  <c r="C45" i="4" s="1"/>
  <c r="E45" i="4" s="1"/>
  <c r="R58" i="4"/>
  <c r="R56" i="4"/>
  <c r="R60" i="4" s="1"/>
  <c r="R61" i="4" s="1"/>
  <c r="R62" i="4" s="1"/>
  <c r="K43" i="4"/>
  <c r="T37" i="4"/>
  <c r="B46" i="4"/>
  <c r="H46" i="4"/>
  <c r="I46" i="4"/>
  <c r="A47" i="4"/>
  <c r="J44" i="4"/>
  <c r="D45" i="4" l="1"/>
  <c r="J45" i="4" s="1"/>
  <c r="K44" i="4"/>
  <c r="B47" i="4"/>
  <c r="H47" i="4"/>
  <c r="I47" i="4"/>
  <c r="A48" i="4"/>
  <c r="F45" i="4" l="1"/>
  <c r="G45" i="4" s="1"/>
  <c r="C46" i="4" s="1"/>
  <c r="E46" i="4" s="1"/>
  <c r="K45" i="4"/>
  <c r="U37" i="4"/>
  <c r="V37" i="4"/>
  <c r="B48" i="4"/>
  <c r="H48" i="4"/>
  <c r="I48" i="4"/>
  <c r="A49" i="4"/>
  <c r="D46" i="4" l="1"/>
  <c r="B49" i="4"/>
  <c r="H49" i="4"/>
  <c r="I49" i="4"/>
  <c r="A50" i="4"/>
  <c r="J46" i="4"/>
  <c r="K46" i="4" s="1"/>
  <c r="F46" i="4"/>
  <c r="G46" i="4" s="1"/>
  <c r="C47" i="4" s="1"/>
  <c r="B50" i="4" l="1"/>
  <c r="A51" i="4"/>
  <c r="D47" i="4"/>
  <c r="E47" i="4"/>
  <c r="B51" i="4" l="1"/>
  <c r="H51" i="4"/>
  <c r="I51" i="4"/>
  <c r="A52" i="4"/>
  <c r="J47" i="4"/>
  <c r="K47" i="4" s="1"/>
  <c r="F47" i="4"/>
  <c r="G47" i="4" s="1"/>
  <c r="C48" i="4" s="1"/>
  <c r="D48" i="4" s="1"/>
  <c r="H50" i="4"/>
  <c r="I50" i="4"/>
  <c r="B52" i="4" l="1"/>
  <c r="H52" i="4"/>
  <c r="I52" i="4"/>
  <c r="A53" i="4"/>
  <c r="J48" i="4"/>
  <c r="K48" i="4" s="1"/>
  <c r="E48" i="4"/>
  <c r="F48" i="4" s="1"/>
  <c r="G48" i="4" s="1"/>
  <c r="C49" i="4" s="1"/>
  <c r="B53" i="4" l="1"/>
  <c r="A54" i="4"/>
  <c r="D49" i="4"/>
  <c r="E49" i="4"/>
  <c r="B54" i="4" l="1"/>
  <c r="H54" i="4"/>
  <c r="I54" i="4"/>
  <c r="A55" i="4"/>
  <c r="J49" i="4"/>
  <c r="K49" i="4" s="1"/>
  <c r="F49" i="4"/>
  <c r="G49" i="4" s="1"/>
  <c r="C50" i="4" s="1"/>
  <c r="H53" i="4"/>
  <c r="I53" i="4"/>
  <c r="E50" i="4" l="1"/>
  <c r="D50" i="4"/>
  <c r="B55" i="4"/>
  <c r="H55" i="4"/>
  <c r="I55" i="4"/>
  <c r="A56" i="4"/>
  <c r="J50" i="4" l="1"/>
  <c r="K50" i="4" s="1"/>
  <c r="F50" i="4"/>
  <c r="G50" i="4" s="1"/>
  <c r="C51" i="4" s="1"/>
  <c r="B56" i="4"/>
  <c r="I56" i="4" s="1"/>
  <c r="H56" i="4"/>
  <c r="A57" i="4"/>
  <c r="D51" i="4" l="1"/>
  <c r="J51" i="4" s="1"/>
  <c r="K51" i="4" s="1"/>
  <c r="E51" i="4"/>
  <c r="B57" i="4"/>
  <c r="H57" i="4"/>
  <c r="I57" i="4"/>
  <c r="A58" i="4"/>
  <c r="F51" i="4" l="1"/>
  <c r="G51" i="4" s="1"/>
  <c r="C52" i="4" s="1"/>
  <c r="E52" i="4" s="1"/>
  <c r="B58" i="4"/>
  <c r="H58" i="4"/>
  <c r="I58" i="4"/>
  <c r="A59" i="4"/>
  <c r="D52" i="4" l="1"/>
  <c r="F52" i="4" s="1"/>
  <c r="G52" i="4" s="1"/>
  <c r="C53" i="4" s="1"/>
  <c r="D53" i="4" s="1"/>
  <c r="B59" i="4"/>
  <c r="A60" i="4"/>
  <c r="E53" i="4" l="1"/>
  <c r="J52" i="4"/>
  <c r="K52" i="4" s="1"/>
  <c r="B60" i="4"/>
  <c r="H60" i="4"/>
  <c r="I60" i="4"/>
  <c r="A61" i="4"/>
  <c r="J53" i="4"/>
  <c r="K53" i="4" s="1"/>
  <c r="F53" i="4"/>
  <c r="G53" i="4" s="1"/>
  <c r="C54" i="4" s="1"/>
  <c r="D54" i="4" s="1"/>
  <c r="E54" i="4"/>
  <c r="H59" i="4"/>
  <c r="I59" i="4"/>
  <c r="B61" i="4" l="1"/>
  <c r="A62" i="4"/>
  <c r="J54" i="4"/>
  <c r="K54" i="4" s="1"/>
  <c r="F54" i="4"/>
  <c r="G54" i="4" s="1"/>
  <c r="C55" i="4" s="1"/>
  <c r="B62" i="4" l="1"/>
  <c r="A63" i="4"/>
  <c r="D55" i="4"/>
  <c r="E55" i="4"/>
  <c r="H61" i="4"/>
  <c r="I61" i="4"/>
  <c r="B63" i="4" l="1"/>
  <c r="H63" i="4"/>
  <c r="I63" i="4"/>
  <c r="A64" i="4"/>
  <c r="J55" i="4"/>
  <c r="K55" i="4" s="1"/>
  <c r="F55" i="4"/>
  <c r="G55" i="4" s="1"/>
  <c r="C56" i="4" s="1"/>
  <c r="H62" i="4"/>
  <c r="I62" i="4"/>
  <c r="B64" i="4" l="1"/>
  <c r="H64" i="4"/>
  <c r="I64" i="4"/>
  <c r="A65" i="4"/>
  <c r="E56" i="4"/>
  <c r="D56" i="4"/>
  <c r="B65" i="4" l="1"/>
  <c r="H65" i="4"/>
  <c r="I65" i="4"/>
  <c r="A66" i="4"/>
  <c r="F56" i="4"/>
  <c r="G56" i="4" s="1"/>
  <c r="C57" i="4" s="1"/>
  <c r="J56" i="4"/>
  <c r="K56" i="4" s="1"/>
  <c r="B66" i="4" l="1"/>
  <c r="H66" i="4"/>
  <c r="I66" i="4"/>
  <c r="A67" i="4"/>
  <c r="D57" i="4"/>
  <c r="E57" i="4"/>
  <c r="B67" i="4" l="1"/>
  <c r="A68" i="4"/>
  <c r="F57" i="4"/>
  <c r="G57" i="4" s="1"/>
  <c r="C58" i="4" s="1"/>
  <c r="J57" i="4"/>
  <c r="K57" i="4" s="1"/>
  <c r="B68" i="4" l="1"/>
  <c r="A69" i="4"/>
  <c r="H67" i="4"/>
  <c r="I67" i="4"/>
  <c r="D58" i="4"/>
  <c r="E58" i="4"/>
  <c r="B69" i="4" l="1"/>
  <c r="H69" i="4"/>
  <c r="I69" i="4"/>
  <c r="A70" i="4"/>
  <c r="F58" i="4"/>
  <c r="G58" i="4" s="1"/>
  <c r="C59" i="4" s="1"/>
  <c r="J58" i="4"/>
  <c r="K58" i="4" s="1"/>
  <c r="H68" i="4"/>
  <c r="I68" i="4"/>
  <c r="B70" i="4" l="1"/>
  <c r="H70" i="4"/>
  <c r="I70" i="4"/>
  <c r="A71" i="4"/>
  <c r="D59" i="4"/>
  <c r="E59" i="4"/>
  <c r="B71" i="4" l="1"/>
  <c r="A72" i="4"/>
  <c r="F59" i="4"/>
  <c r="G59" i="4" s="1"/>
  <c r="C60" i="4" s="1"/>
  <c r="E60" i="4" s="1"/>
  <c r="J59" i="4"/>
  <c r="K59" i="4" s="1"/>
  <c r="D60" i="4"/>
  <c r="B72" i="4" l="1"/>
  <c r="A73" i="4"/>
  <c r="J60" i="4"/>
  <c r="K60" i="4" s="1"/>
  <c r="F60" i="4"/>
  <c r="G60" i="4" s="1"/>
  <c r="C61" i="4" s="1"/>
  <c r="H71" i="4"/>
  <c r="I71" i="4"/>
  <c r="B73" i="4" l="1"/>
  <c r="A74" i="4"/>
  <c r="D61" i="4"/>
  <c r="E61" i="4"/>
  <c r="H72" i="4"/>
  <c r="I72" i="4"/>
  <c r="B74" i="4" l="1"/>
  <c r="I74" i="4" s="1"/>
  <c r="H74" i="4"/>
  <c r="A75" i="4"/>
  <c r="J61" i="4"/>
  <c r="K61" i="4" s="1"/>
  <c r="F61" i="4"/>
  <c r="G61" i="4" s="1"/>
  <c r="C62" i="4" s="1"/>
  <c r="H73" i="4"/>
  <c r="I73" i="4"/>
  <c r="B75" i="4" l="1"/>
  <c r="A76" i="4"/>
  <c r="E62" i="4"/>
  <c r="D62" i="4"/>
  <c r="B76" i="4" l="1"/>
  <c r="A77" i="4"/>
  <c r="F62" i="4"/>
  <c r="G62" i="4" s="1"/>
  <c r="C63" i="4" s="1"/>
  <c r="J62" i="4"/>
  <c r="K62" i="4" s="1"/>
  <c r="H75" i="4"/>
  <c r="I75" i="4"/>
  <c r="B77" i="4" l="1"/>
  <c r="A78" i="4"/>
  <c r="D63" i="4"/>
  <c r="E63" i="4"/>
  <c r="H76" i="4"/>
  <c r="I76" i="4"/>
  <c r="B78" i="4" l="1"/>
  <c r="H78" i="4"/>
  <c r="I78" i="4"/>
  <c r="A79" i="4"/>
  <c r="J63" i="4"/>
  <c r="K63" i="4" s="1"/>
  <c r="F63" i="4"/>
  <c r="G63" i="4" s="1"/>
  <c r="C64" i="4" s="1"/>
  <c r="H77" i="4"/>
  <c r="I77" i="4"/>
  <c r="D64" i="4" l="1"/>
  <c r="E64" i="4"/>
  <c r="B79" i="4"/>
  <c r="H79" i="4"/>
  <c r="I79" i="4"/>
  <c r="A80" i="4"/>
  <c r="J64" i="4" l="1"/>
  <c r="K64" i="4" s="1"/>
  <c r="F64" i="4"/>
  <c r="G64" i="4" s="1"/>
  <c r="C65" i="4" s="1"/>
  <c r="B80" i="4"/>
  <c r="A81" i="4"/>
  <c r="E65" i="4" l="1"/>
  <c r="D65" i="4"/>
  <c r="B81" i="4"/>
  <c r="H81" i="4"/>
  <c r="I81" i="4"/>
  <c r="A82" i="4"/>
  <c r="H80" i="4"/>
  <c r="I80" i="4"/>
  <c r="F65" i="4" l="1"/>
  <c r="G65" i="4" s="1"/>
  <c r="C66" i="4" s="1"/>
  <c r="J65" i="4"/>
  <c r="K65" i="4" s="1"/>
  <c r="B82" i="4"/>
  <c r="A83" i="4"/>
  <c r="E66" i="4" l="1"/>
  <c r="D66" i="4"/>
  <c r="B83" i="4"/>
  <c r="H83" i="4"/>
  <c r="I83" i="4"/>
  <c r="A84" i="4"/>
  <c r="H82" i="4"/>
  <c r="I82" i="4"/>
  <c r="F66" i="4" l="1"/>
  <c r="G66" i="4" s="1"/>
  <c r="C67" i="4" s="1"/>
  <c r="J66" i="4"/>
  <c r="K66" i="4" s="1"/>
  <c r="B84" i="4"/>
  <c r="H84" i="4"/>
  <c r="I84" i="4"/>
  <c r="A85" i="4"/>
  <c r="D67" i="4" l="1"/>
  <c r="E67" i="4"/>
  <c r="B85" i="4"/>
  <c r="A86" i="4"/>
  <c r="F67" i="4" l="1"/>
  <c r="G67" i="4" s="1"/>
  <c r="C68" i="4" s="1"/>
  <c r="J67" i="4"/>
  <c r="K67" i="4" s="1"/>
  <c r="B86" i="4"/>
  <c r="A87" i="4"/>
  <c r="H85" i="4"/>
  <c r="I85" i="4"/>
  <c r="E68" i="4" l="1"/>
  <c r="D68" i="4"/>
  <c r="B87" i="4"/>
  <c r="H87" i="4"/>
  <c r="I87" i="4"/>
  <c r="A88" i="4"/>
  <c r="H86" i="4"/>
  <c r="I86" i="4"/>
  <c r="F68" i="4" l="1"/>
  <c r="G68" i="4" s="1"/>
  <c r="C69" i="4" s="1"/>
  <c r="J68" i="4"/>
  <c r="K68" i="4" s="1"/>
  <c r="B88" i="4"/>
  <c r="H88" i="4"/>
  <c r="I88" i="4"/>
  <c r="A89" i="4"/>
  <c r="D69" i="4" l="1"/>
  <c r="E69" i="4"/>
  <c r="B89" i="4"/>
  <c r="A90" i="4"/>
  <c r="F69" i="4" l="1"/>
  <c r="G69" i="4" s="1"/>
  <c r="C70" i="4" s="1"/>
  <c r="J69" i="4"/>
  <c r="K69" i="4" s="1"/>
  <c r="B90" i="4"/>
  <c r="H90" i="4"/>
  <c r="I90" i="4"/>
  <c r="A91" i="4"/>
  <c r="H89" i="4"/>
  <c r="I89" i="4"/>
  <c r="D70" i="4" l="1"/>
  <c r="E70" i="4"/>
  <c r="B91" i="4"/>
  <c r="I91" i="4" s="1"/>
  <c r="H91" i="4"/>
  <c r="A92" i="4"/>
  <c r="F70" i="4" l="1"/>
  <c r="G70" i="4" s="1"/>
  <c r="C71" i="4" s="1"/>
  <c r="J70" i="4"/>
  <c r="K70" i="4" s="1"/>
  <c r="B92" i="4"/>
  <c r="A93" i="4"/>
  <c r="D71" i="4" l="1"/>
  <c r="E71" i="4"/>
  <c r="B93" i="4"/>
  <c r="H93" i="4"/>
  <c r="I93" i="4"/>
  <c r="A94" i="4"/>
  <c r="H92" i="4"/>
  <c r="I92" i="4"/>
  <c r="J71" i="4" l="1"/>
  <c r="K71" i="4" s="1"/>
  <c r="F71" i="4"/>
  <c r="G71" i="4" s="1"/>
  <c r="C72" i="4" s="1"/>
  <c r="B94" i="4"/>
  <c r="A95" i="4"/>
  <c r="E72" i="4" l="1"/>
  <c r="D72" i="4"/>
  <c r="B95" i="4"/>
  <c r="H95" i="4"/>
  <c r="I95" i="4"/>
  <c r="A96" i="4"/>
  <c r="H94" i="4"/>
  <c r="I94" i="4"/>
  <c r="F72" i="4" l="1"/>
  <c r="G72" i="4" s="1"/>
  <c r="C73" i="4" s="1"/>
  <c r="J72" i="4"/>
  <c r="K72" i="4" s="1"/>
  <c r="B96" i="4"/>
  <c r="A97" i="4"/>
  <c r="E73" i="4" l="1"/>
  <c r="D73" i="4"/>
  <c r="B97" i="4"/>
  <c r="A98" i="4"/>
  <c r="H96" i="4"/>
  <c r="I96" i="4"/>
  <c r="F73" i="4" l="1"/>
  <c r="G73" i="4" s="1"/>
  <c r="C74" i="4" s="1"/>
  <c r="J73" i="4"/>
  <c r="K73" i="4" s="1"/>
  <c r="B98" i="4"/>
  <c r="H98" i="4"/>
  <c r="I98" i="4"/>
  <c r="A99" i="4"/>
  <c r="H97" i="4"/>
  <c r="I97" i="4"/>
  <c r="E74" i="4" l="1"/>
  <c r="D74" i="4"/>
  <c r="B99" i="4"/>
  <c r="H99" i="4"/>
  <c r="I99" i="4"/>
  <c r="A100" i="4"/>
  <c r="J74" i="4" l="1"/>
  <c r="K74" i="4" s="1"/>
  <c r="F74" i="4"/>
  <c r="G74" i="4" s="1"/>
  <c r="C75" i="4" s="1"/>
  <c r="B100" i="4"/>
  <c r="H100" i="4"/>
  <c r="I100" i="4"/>
  <c r="A101" i="4"/>
  <c r="D75" i="4" l="1"/>
  <c r="E75" i="4"/>
  <c r="B101" i="4"/>
  <c r="H101" i="4"/>
  <c r="I101" i="4"/>
  <c r="A102" i="4"/>
  <c r="F75" i="4" l="1"/>
  <c r="G75" i="4" s="1"/>
  <c r="C76" i="4" s="1"/>
  <c r="J75" i="4"/>
  <c r="K75" i="4" s="1"/>
  <c r="B102" i="4"/>
  <c r="A103" i="4"/>
  <c r="E76" i="4" l="1"/>
  <c r="D76" i="4"/>
  <c r="B103" i="4"/>
  <c r="H103" i="4"/>
  <c r="I103" i="4"/>
  <c r="A104" i="4"/>
  <c r="H102" i="4"/>
  <c r="I102" i="4"/>
  <c r="J76" i="4" l="1"/>
  <c r="K76" i="4" s="1"/>
  <c r="F76" i="4"/>
  <c r="G76" i="4" s="1"/>
  <c r="C77" i="4" s="1"/>
  <c r="B104" i="4"/>
  <c r="I104" i="4" s="1"/>
  <c r="H104" i="4"/>
  <c r="A105" i="4"/>
  <c r="E77" i="4" l="1"/>
  <c r="D77" i="4"/>
  <c r="A106" i="4"/>
  <c r="B105" i="4"/>
  <c r="I105" i="4" s="1"/>
  <c r="H105" i="4"/>
  <c r="J77" i="4" l="1"/>
  <c r="K77" i="4" s="1"/>
  <c r="F77" i="4"/>
  <c r="G77" i="4" s="1"/>
  <c r="C78" i="4" s="1"/>
  <c r="A107" i="4"/>
  <c r="B106" i="4"/>
  <c r="H106" i="4"/>
  <c r="I106" i="4"/>
  <c r="E78" i="4" l="1"/>
  <c r="D78" i="4"/>
  <c r="B107" i="4"/>
  <c r="H107" i="4"/>
  <c r="A108" i="4"/>
  <c r="I107" i="4"/>
  <c r="J78" i="4" l="1"/>
  <c r="K78" i="4" s="1"/>
  <c r="F78" i="4"/>
  <c r="G78" i="4" s="1"/>
  <c r="C79" i="4" s="1"/>
  <c r="B108" i="4"/>
  <c r="I108" i="4" s="1"/>
  <c r="A109" i="4"/>
  <c r="H108" i="4"/>
  <c r="D79" i="4" l="1"/>
  <c r="E79" i="4"/>
  <c r="B109" i="4"/>
  <c r="I109" i="4" s="1"/>
  <c r="A110" i="4"/>
  <c r="H109" i="4"/>
  <c r="F79" i="4" l="1"/>
  <c r="G79" i="4" s="1"/>
  <c r="C80" i="4" s="1"/>
  <c r="J79" i="4"/>
  <c r="K79" i="4" s="1"/>
  <c r="A111" i="4"/>
  <c r="B110" i="4"/>
  <c r="E80" i="4" l="1"/>
  <c r="D80" i="4"/>
  <c r="A112" i="4"/>
  <c r="B111" i="4"/>
  <c r="H110" i="4"/>
  <c r="I110" i="4"/>
  <c r="F80" i="4" l="1"/>
  <c r="G80" i="4" s="1"/>
  <c r="C81" i="4" s="1"/>
  <c r="J80" i="4"/>
  <c r="K80" i="4" s="1"/>
  <c r="A113" i="4"/>
  <c r="B112" i="4"/>
  <c r="H112" i="4"/>
  <c r="I112" i="4"/>
  <c r="I111" i="4"/>
  <c r="H111" i="4"/>
  <c r="E81" i="4" l="1"/>
  <c r="D81" i="4"/>
  <c r="J81" i="4" s="1"/>
  <c r="K81" i="4" s="1"/>
  <c r="A114" i="4"/>
  <c r="B113" i="4"/>
  <c r="H113" i="4" s="1"/>
  <c r="I113" i="4"/>
  <c r="F81" i="4" l="1"/>
  <c r="G81" i="4" s="1"/>
  <c r="C82" i="4" s="1"/>
  <c r="B114" i="4"/>
  <c r="I114" i="4" s="1"/>
  <c r="A115" i="4"/>
  <c r="H114" i="4"/>
  <c r="D82" i="4" l="1"/>
  <c r="E82" i="4"/>
  <c r="B115" i="4"/>
  <c r="I115" i="4"/>
  <c r="A116" i="4"/>
  <c r="H115" i="4"/>
  <c r="F82" i="4" l="1"/>
  <c r="G82" i="4" s="1"/>
  <c r="C83" i="4" s="1"/>
  <c r="J82" i="4"/>
  <c r="K82" i="4" s="1"/>
  <c r="B116" i="4"/>
  <c r="H116" i="4" s="1"/>
  <c r="I116" i="4"/>
  <c r="A117" i="4"/>
  <c r="D83" i="4" l="1"/>
  <c r="E83" i="4"/>
  <c r="A118" i="4"/>
  <c r="B117" i="4"/>
  <c r="F83" i="4" l="1"/>
  <c r="G83" i="4" s="1"/>
  <c r="C84" i="4" s="1"/>
  <c r="J83" i="4"/>
  <c r="K83" i="4" s="1"/>
  <c r="A119" i="4"/>
  <c r="B118" i="4"/>
  <c r="I117" i="4"/>
  <c r="H117" i="4"/>
  <c r="D84" i="4" l="1"/>
  <c r="E84" i="4"/>
  <c r="A120" i="4"/>
  <c r="B119" i="4"/>
  <c r="H119" i="4" s="1"/>
  <c r="I119" i="4"/>
  <c r="H118" i="4"/>
  <c r="I118" i="4"/>
  <c r="F84" i="4" l="1"/>
  <c r="G84" i="4" s="1"/>
  <c r="C85" i="4" s="1"/>
  <c r="J84" i="4"/>
  <c r="K84" i="4" s="1"/>
  <c r="B120" i="4"/>
  <c r="A121" i="4"/>
  <c r="I120" i="4"/>
  <c r="H120" i="4"/>
  <c r="D85" i="4" l="1"/>
  <c r="E85" i="4"/>
  <c r="B121" i="4"/>
  <c r="A122" i="4"/>
  <c r="J85" i="4" l="1"/>
  <c r="K85" i="4" s="1"/>
  <c r="F85" i="4"/>
  <c r="G85" i="4" s="1"/>
  <c r="C86" i="4" s="1"/>
  <c r="B122" i="4"/>
  <c r="A123" i="4"/>
  <c r="H121" i="4"/>
  <c r="I121" i="4"/>
  <c r="E86" i="4" l="1"/>
  <c r="D86" i="4"/>
  <c r="B123" i="4"/>
  <c r="A124" i="4"/>
  <c r="I122" i="4"/>
  <c r="H122" i="4"/>
  <c r="J86" i="4" l="1"/>
  <c r="K86" i="4" s="1"/>
  <c r="F86" i="4"/>
  <c r="G86" i="4" s="1"/>
  <c r="C87" i="4" s="1"/>
  <c r="B124" i="4"/>
  <c r="H124" i="4"/>
  <c r="I124" i="4"/>
  <c r="A125" i="4"/>
  <c r="I123" i="4"/>
  <c r="H123" i="4"/>
  <c r="D87" i="4" l="1"/>
  <c r="E87" i="4"/>
  <c r="A126" i="4"/>
  <c r="B125" i="4"/>
  <c r="J87" i="4" l="1"/>
  <c r="K87" i="4" s="1"/>
  <c r="F87" i="4"/>
  <c r="G87" i="4" s="1"/>
  <c r="C88" i="4" s="1"/>
  <c r="B126" i="4"/>
  <c r="H126" i="4"/>
  <c r="I126" i="4"/>
  <c r="A127" i="4"/>
  <c r="H125" i="4"/>
  <c r="I125" i="4"/>
  <c r="D88" i="4" l="1"/>
  <c r="E88" i="4"/>
  <c r="A128" i="4"/>
  <c r="B127" i="4"/>
  <c r="F88" i="4" l="1"/>
  <c r="G88" i="4" s="1"/>
  <c r="C89" i="4" s="1"/>
  <c r="J88" i="4"/>
  <c r="K88" i="4" s="1"/>
  <c r="A129" i="4"/>
  <c r="B128" i="4"/>
  <c r="I127" i="4"/>
  <c r="H127" i="4"/>
  <c r="D89" i="4" l="1"/>
  <c r="E89" i="4"/>
  <c r="A130" i="4"/>
  <c r="I129" i="4"/>
  <c r="B129" i="4"/>
  <c r="H129" i="4"/>
  <c r="I128" i="4"/>
  <c r="H128" i="4"/>
  <c r="F89" i="4" l="1"/>
  <c r="G89" i="4" s="1"/>
  <c r="C90" i="4" s="1"/>
  <c r="J89" i="4"/>
  <c r="K89" i="4" s="1"/>
  <c r="A131" i="4"/>
  <c r="B130" i="4"/>
  <c r="I130" i="4" s="1"/>
  <c r="H130" i="4"/>
  <c r="E90" i="4" l="1"/>
  <c r="D90" i="4"/>
  <c r="B131" i="4"/>
  <c r="A132" i="4"/>
  <c r="J90" i="4" l="1"/>
  <c r="K90" i="4" s="1"/>
  <c r="F90" i="4"/>
  <c r="G90" i="4" s="1"/>
  <c r="C91" i="4" s="1"/>
  <c r="I132" i="4"/>
  <c r="H132" i="4"/>
  <c r="B132" i="4"/>
  <c r="A133" i="4"/>
  <c r="I131" i="4"/>
  <c r="H131" i="4"/>
  <c r="D91" i="4" l="1"/>
  <c r="E91" i="4"/>
  <c r="B133" i="4"/>
  <c r="A134" i="4"/>
  <c r="F91" i="4" l="1"/>
  <c r="G91" i="4" s="1"/>
  <c r="C92" i="4" s="1"/>
  <c r="J91" i="4"/>
  <c r="K91" i="4" s="1"/>
  <c r="B134" i="4"/>
  <c r="H134" i="4" s="1"/>
  <c r="I134" i="4"/>
  <c r="A135" i="4"/>
  <c r="H133" i="4"/>
  <c r="I133" i="4"/>
  <c r="E92" i="4" l="1"/>
  <c r="D92" i="4"/>
  <c r="A136" i="4"/>
  <c r="B135" i="4"/>
  <c r="F92" i="4" l="1"/>
  <c r="G92" i="4" s="1"/>
  <c r="C93" i="4" s="1"/>
  <c r="J92" i="4"/>
  <c r="K92" i="4" s="1"/>
  <c r="B136" i="4"/>
  <c r="I136" i="4" s="1"/>
  <c r="A137" i="4"/>
  <c r="H136" i="4"/>
  <c r="H135" i="4"/>
  <c r="I135" i="4"/>
  <c r="D93" i="4" l="1"/>
  <c r="E93" i="4"/>
  <c r="B137" i="4"/>
  <c r="I137" i="4" s="1"/>
  <c r="A138" i="4"/>
  <c r="H137" i="4"/>
  <c r="J93" i="4" l="1"/>
  <c r="K93" i="4" s="1"/>
  <c r="F93" i="4"/>
  <c r="G93" i="4" s="1"/>
  <c r="C94" i="4" s="1"/>
  <c r="B138" i="4"/>
  <c r="H138" i="4" s="1"/>
  <c r="A139" i="4"/>
  <c r="I138" i="4"/>
  <c r="E94" i="4" l="1"/>
  <c r="D94" i="4"/>
  <c r="I139" i="4"/>
  <c r="A140" i="4"/>
  <c r="B139" i="4"/>
  <c r="H139" i="4" s="1"/>
  <c r="J94" i="4" l="1"/>
  <c r="K94" i="4" s="1"/>
  <c r="F94" i="4"/>
  <c r="G94" i="4" s="1"/>
  <c r="C95" i="4" s="1"/>
  <c r="B140" i="4"/>
  <c r="I140" i="4"/>
  <c r="H140" i="4"/>
  <c r="A141" i="4"/>
  <c r="D95" i="4" l="1"/>
  <c r="E95" i="4"/>
  <c r="A142" i="4"/>
  <c r="B141" i="4"/>
  <c r="I141" i="4"/>
  <c r="H141" i="4"/>
  <c r="J95" i="4" l="1"/>
  <c r="K95" i="4" s="1"/>
  <c r="F95" i="4"/>
  <c r="G95" i="4" s="1"/>
  <c r="C96" i="4" s="1"/>
  <c r="B142" i="4"/>
  <c r="H142" i="4" s="1"/>
  <c r="I142" i="4"/>
  <c r="A143" i="4"/>
  <c r="E96" i="4" l="1"/>
  <c r="D96" i="4"/>
  <c r="A144" i="4"/>
  <c r="B143" i="4"/>
  <c r="H143" i="4" s="1"/>
  <c r="I143" i="4"/>
  <c r="J96" i="4" l="1"/>
  <c r="K96" i="4" s="1"/>
  <c r="F96" i="4"/>
  <c r="G96" i="4" s="1"/>
  <c r="C97" i="4" s="1"/>
  <c r="H144" i="4"/>
  <c r="A145" i="4"/>
  <c r="B144" i="4"/>
  <c r="I144" i="4" s="1"/>
  <c r="E97" i="4" l="1"/>
  <c r="D97" i="4"/>
  <c r="B145" i="4"/>
  <c r="A146" i="4"/>
  <c r="F97" i="4" l="1"/>
  <c r="G97" i="4" s="1"/>
  <c r="C98" i="4" s="1"/>
  <c r="J97" i="4"/>
  <c r="K97" i="4" s="1"/>
  <c r="A147" i="4"/>
  <c r="B146" i="4"/>
  <c r="I146" i="4" s="1"/>
  <c r="H146" i="4"/>
  <c r="H145" i="4"/>
  <c r="I145" i="4"/>
  <c r="D98" i="4" l="1"/>
  <c r="E98" i="4"/>
  <c r="A148" i="4"/>
  <c r="B147" i="4"/>
  <c r="F98" i="4" l="1"/>
  <c r="G98" i="4" s="1"/>
  <c r="C99" i="4" s="1"/>
  <c r="J98" i="4"/>
  <c r="K98" i="4" s="1"/>
  <c r="B148" i="4"/>
  <c r="A149" i="4"/>
  <c r="I147" i="4"/>
  <c r="H147" i="4"/>
  <c r="E99" i="4" l="1"/>
  <c r="D99" i="4"/>
  <c r="A150" i="4"/>
  <c r="B149" i="4"/>
  <c r="H149" i="4" s="1"/>
  <c r="I149" i="4"/>
  <c r="I148" i="4"/>
  <c r="H148" i="4"/>
  <c r="F99" i="4" l="1"/>
  <c r="G99" i="4" s="1"/>
  <c r="C100" i="4" s="1"/>
  <c r="J99" i="4"/>
  <c r="K99" i="4" s="1"/>
  <c r="A151" i="4"/>
  <c r="B150" i="4"/>
  <c r="I150" i="4"/>
  <c r="H150" i="4"/>
  <c r="D100" i="4" l="1"/>
  <c r="E100" i="4"/>
  <c r="A152" i="4"/>
  <c r="B151" i="4"/>
  <c r="I151" i="4" s="1"/>
  <c r="H151" i="4"/>
  <c r="F100" i="4" l="1"/>
  <c r="G100" i="4" s="1"/>
  <c r="C101" i="4" s="1"/>
  <c r="J100" i="4"/>
  <c r="K100" i="4" s="1"/>
  <c r="B152" i="4"/>
  <c r="A153" i="4"/>
  <c r="I152" i="4"/>
  <c r="H152" i="4"/>
  <c r="E101" i="4" l="1"/>
  <c r="D101" i="4"/>
  <c r="A154" i="4"/>
  <c r="B153" i="4"/>
  <c r="I153" i="4" s="1"/>
  <c r="H153" i="4"/>
  <c r="J101" i="4" l="1"/>
  <c r="K101" i="4" s="1"/>
  <c r="F101" i="4"/>
  <c r="G101" i="4" s="1"/>
  <c r="C102" i="4" s="1"/>
  <c r="B154" i="4"/>
  <c r="H154" i="4" s="1"/>
  <c r="A155" i="4"/>
  <c r="I154" i="4"/>
  <c r="E102" i="4" l="1"/>
  <c r="D102" i="4"/>
  <c r="B155" i="4"/>
  <c r="I155" i="4" s="1"/>
  <c r="A156" i="4"/>
  <c r="H155" i="4"/>
  <c r="J102" i="4" l="1"/>
  <c r="K102" i="4" s="1"/>
  <c r="F102" i="4"/>
  <c r="G102" i="4" s="1"/>
  <c r="C103" i="4" s="1"/>
  <c r="B156" i="4"/>
  <c r="A157" i="4"/>
  <c r="E103" i="4" l="1"/>
  <c r="D103" i="4"/>
  <c r="A158" i="4"/>
  <c r="B157" i="4"/>
  <c r="I156" i="4"/>
  <c r="H156" i="4"/>
  <c r="J103" i="4" l="1"/>
  <c r="K103" i="4" s="1"/>
  <c r="F103" i="4"/>
  <c r="G103" i="4" s="1"/>
  <c r="C104" i="4" s="1"/>
  <c r="I158" i="4"/>
  <c r="A159" i="4"/>
  <c r="B158" i="4"/>
  <c r="H158" i="4" s="1"/>
  <c r="H157" i="4"/>
  <c r="I157" i="4"/>
  <c r="D104" i="4" l="1"/>
  <c r="E104" i="4"/>
  <c r="A160" i="4"/>
  <c r="B159" i="4"/>
  <c r="J104" i="4" l="1"/>
  <c r="K104" i="4" s="1"/>
  <c r="F104" i="4"/>
  <c r="G104" i="4" s="1"/>
  <c r="C105" i="4" s="1"/>
  <c r="B160" i="4"/>
  <c r="A161" i="4"/>
  <c r="I159" i="4"/>
  <c r="H159" i="4"/>
  <c r="D105" i="4" l="1"/>
  <c r="E105" i="4"/>
  <c r="I161" i="4"/>
  <c r="B161" i="4"/>
  <c r="H161" i="4" s="1"/>
  <c r="A162" i="4"/>
  <c r="H160" i="4"/>
  <c r="I160" i="4"/>
  <c r="J105" i="4" l="1"/>
  <c r="K105" i="4" s="1"/>
  <c r="F105" i="4"/>
  <c r="G105" i="4" s="1"/>
  <c r="C106" i="4" s="1"/>
  <c r="H162" i="4"/>
  <c r="B162" i="4"/>
  <c r="I162" i="4"/>
  <c r="A163" i="4"/>
  <c r="D106" i="4" l="1"/>
  <c r="E106" i="4"/>
  <c r="B163" i="4"/>
  <c r="I163" i="4" s="1"/>
  <c r="A164" i="4"/>
  <c r="H163" i="4"/>
  <c r="J106" i="4" l="1"/>
  <c r="K106" i="4" s="1"/>
  <c r="F106" i="4"/>
  <c r="G106" i="4" s="1"/>
  <c r="C107" i="4" s="1"/>
  <c r="H164" i="4"/>
  <c r="B164" i="4"/>
  <c r="A165" i="4"/>
  <c r="I164" i="4"/>
  <c r="E107" i="4" l="1"/>
  <c r="D107" i="4"/>
  <c r="A166" i="4"/>
  <c r="B165" i="4"/>
  <c r="F107" i="4" l="1"/>
  <c r="G107" i="4" s="1"/>
  <c r="C108" i="4" s="1"/>
  <c r="J107" i="4"/>
  <c r="K107" i="4" s="1"/>
  <c r="B166" i="4"/>
  <c r="A167" i="4"/>
  <c r="I165" i="4"/>
  <c r="H165" i="4"/>
  <c r="D108" i="4" l="1"/>
  <c r="E108" i="4"/>
  <c r="B167" i="4"/>
  <c r="A168" i="4"/>
  <c r="I166" i="4"/>
  <c r="H166" i="4"/>
  <c r="F108" i="4" l="1"/>
  <c r="G108" i="4" s="1"/>
  <c r="C109" i="4" s="1"/>
  <c r="J108" i="4"/>
  <c r="K108" i="4" s="1"/>
  <c r="A169" i="4"/>
  <c r="I168" i="4"/>
  <c r="B168" i="4"/>
  <c r="H168" i="4"/>
  <c r="I167" i="4"/>
  <c r="H167" i="4"/>
  <c r="D109" i="4" l="1"/>
  <c r="E109" i="4"/>
  <c r="B169" i="4"/>
  <c r="A170" i="4"/>
  <c r="I169" i="4"/>
  <c r="H169" i="4"/>
  <c r="F109" i="4" l="1"/>
  <c r="G109" i="4" s="1"/>
  <c r="C110" i="4" s="1"/>
  <c r="J109" i="4"/>
  <c r="K109" i="4" s="1"/>
  <c r="B170" i="4"/>
  <c r="A171" i="4"/>
  <c r="D110" i="4" l="1"/>
  <c r="E110" i="4"/>
  <c r="I171" i="4"/>
  <c r="A172" i="4"/>
  <c r="B171" i="4"/>
  <c r="H171" i="4"/>
  <c r="H170" i="4"/>
  <c r="I170" i="4"/>
  <c r="F110" i="4" l="1"/>
  <c r="G110" i="4" s="1"/>
  <c r="C111" i="4" s="1"/>
  <c r="J110" i="4"/>
  <c r="K110" i="4" s="1"/>
  <c r="B172" i="4"/>
  <c r="H172" i="4"/>
  <c r="I172" i="4"/>
  <c r="A173" i="4"/>
  <c r="D111" i="4" l="1"/>
  <c r="E111" i="4"/>
  <c r="I173" i="4"/>
  <c r="B173" i="4"/>
  <c r="H173" i="4" s="1"/>
  <c r="A174" i="4"/>
  <c r="J111" i="4" l="1"/>
  <c r="K111" i="4" s="1"/>
  <c r="F111" i="4"/>
  <c r="G111" i="4" s="1"/>
  <c r="C112" i="4" s="1"/>
  <c r="A175" i="4"/>
  <c r="B174" i="4"/>
  <c r="I174" i="4" s="1"/>
  <c r="H174" i="4"/>
  <c r="E112" i="4" l="1"/>
  <c r="D112" i="4"/>
  <c r="B175" i="4"/>
  <c r="A176" i="4"/>
  <c r="J112" i="4" l="1"/>
  <c r="K112" i="4" s="1"/>
  <c r="F112" i="4"/>
  <c r="G112" i="4" s="1"/>
  <c r="C113" i="4" s="1"/>
  <c r="B176" i="4"/>
  <c r="I176" i="4"/>
  <c r="A177" i="4"/>
  <c r="H176" i="4"/>
  <c r="I175" i="4"/>
  <c r="H175" i="4"/>
  <c r="E113" i="4" l="1"/>
  <c r="D113" i="4"/>
  <c r="B177" i="4"/>
  <c r="A178" i="4"/>
  <c r="F113" i="4" l="1"/>
  <c r="G113" i="4" s="1"/>
  <c r="C114" i="4" s="1"/>
  <c r="J113" i="4"/>
  <c r="K113" i="4" s="1"/>
  <c r="A179" i="4"/>
  <c r="B178" i="4"/>
  <c r="I178" i="4" s="1"/>
  <c r="H178" i="4"/>
  <c r="I177" i="4"/>
  <c r="H177" i="4"/>
  <c r="E114" i="4" l="1"/>
  <c r="D114" i="4"/>
  <c r="B179" i="4"/>
  <c r="H179" i="4" s="1"/>
  <c r="I179" i="4"/>
  <c r="A180" i="4"/>
  <c r="F114" i="4" l="1"/>
  <c r="G114" i="4" s="1"/>
  <c r="C115" i="4" s="1"/>
  <c r="J114" i="4"/>
  <c r="K114" i="4" s="1"/>
  <c r="B180" i="4"/>
  <c r="A181" i="4"/>
  <c r="D115" i="4" l="1"/>
  <c r="E115" i="4"/>
  <c r="A182" i="4"/>
  <c r="B181" i="4"/>
  <c r="I180" i="4"/>
  <c r="H180" i="4"/>
  <c r="F115" i="4" l="1"/>
  <c r="G115" i="4" s="1"/>
  <c r="C116" i="4" s="1"/>
  <c r="J115" i="4"/>
  <c r="K115" i="4" s="1"/>
  <c r="B182" i="4"/>
  <c r="A183" i="4"/>
  <c r="I181" i="4"/>
  <c r="H181" i="4"/>
  <c r="E116" i="4" l="1"/>
  <c r="D116" i="4"/>
  <c r="A184" i="4"/>
  <c r="B183" i="4"/>
  <c r="I182" i="4"/>
  <c r="H182" i="4"/>
  <c r="F116" i="4" l="1"/>
  <c r="G116" i="4" s="1"/>
  <c r="C117" i="4" s="1"/>
  <c r="J116" i="4"/>
  <c r="K116" i="4" s="1"/>
  <c r="A185" i="4"/>
  <c r="B184" i="4"/>
  <c r="H183" i="4"/>
  <c r="I183" i="4"/>
  <c r="E117" i="4" l="1"/>
  <c r="D117" i="4"/>
  <c r="B185" i="4"/>
  <c r="I185" i="4" s="1"/>
  <c r="H185" i="4"/>
  <c r="A186" i="4"/>
  <c r="I184" i="4"/>
  <c r="H184" i="4"/>
  <c r="F117" i="4" l="1"/>
  <c r="G117" i="4" s="1"/>
  <c r="C118" i="4" s="1"/>
  <c r="J117" i="4"/>
  <c r="K117" i="4" s="1"/>
  <c r="A187" i="4"/>
  <c r="B186" i="4"/>
  <c r="E118" i="4" l="1"/>
  <c r="D118" i="4"/>
  <c r="B187" i="4"/>
  <c r="A188" i="4"/>
  <c r="I186" i="4"/>
  <c r="H186" i="4"/>
  <c r="F118" i="4" l="1"/>
  <c r="G118" i="4" s="1"/>
  <c r="C119" i="4" s="1"/>
  <c r="J118" i="4"/>
  <c r="K118" i="4" s="1"/>
  <c r="A189" i="4"/>
  <c r="B188" i="4"/>
  <c r="I187" i="4"/>
  <c r="H187" i="4"/>
  <c r="D119" i="4" l="1"/>
  <c r="E119" i="4"/>
  <c r="B189" i="4"/>
  <c r="A190" i="4"/>
  <c r="I188" i="4"/>
  <c r="H188" i="4"/>
  <c r="J119" i="4" l="1"/>
  <c r="K119" i="4" s="1"/>
  <c r="F119" i="4"/>
  <c r="G119" i="4" s="1"/>
  <c r="C120" i="4" s="1"/>
  <c r="A191" i="4"/>
  <c r="B190" i="4"/>
  <c r="H190" i="4" s="1"/>
  <c r="I190" i="4"/>
  <c r="I189" i="4"/>
  <c r="H189" i="4"/>
  <c r="E120" i="4" l="1"/>
  <c r="D120" i="4"/>
  <c r="B191" i="4"/>
  <c r="A192" i="4"/>
  <c r="H191" i="4"/>
  <c r="I191" i="4"/>
  <c r="J120" i="4" l="1"/>
  <c r="K120" i="4" s="1"/>
  <c r="F120" i="4"/>
  <c r="G120" i="4" s="1"/>
  <c r="C121" i="4" s="1"/>
  <c r="A193" i="4"/>
  <c r="B192" i="4"/>
  <c r="E121" i="4" l="1"/>
  <c r="D121" i="4"/>
  <c r="A194" i="4"/>
  <c r="B193" i="4"/>
  <c r="I192" i="4"/>
  <c r="H192" i="4"/>
  <c r="F121" i="4" l="1"/>
  <c r="G121" i="4" s="1"/>
  <c r="C122" i="4" s="1"/>
  <c r="J121" i="4"/>
  <c r="K121" i="4" s="1"/>
  <c r="B194" i="4"/>
  <c r="I194" i="4"/>
  <c r="H194" i="4"/>
  <c r="A195" i="4"/>
  <c r="H193" i="4"/>
  <c r="I193" i="4"/>
  <c r="E122" i="4" l="1"/>
  <c r="D122" i="4"/>
  <c r="B195" i="4"/>
  <c r="I195" i="4" s="1"/>
  <c r="A196" i="4"/>
  <c r="H195" i="4"/>
  <c r="F122" i="4" l="1"/>
  <c r="G122" i="4" s="1"/>
  <c r="C123" i="4" s="1"/>
  <c r="J122" i="4"/>
  <c r="K122" i="4" s="1"/>
  <c r="A197" i="4"/>
  <c r="B196" i="4"/>
  <c r="I196" i="4" s="1"/>
  <c r="H196" i="4"/>
  <c r="E123" i="4" l="1"/>
  <c r="D123" i="4"/>
  <c r="B197" i="4"/>
  <c r="A198" i="4"/>
  <c r="F123" i="4" l="1"/>
  <c r="G123" i="4" s="1"/>
  <c r="C124" i="4" s="1"/>
  <c r="J123" i="4"/>
  <c r="K123" i="4" s="1"/>
  <c r="A199" i="4"/>
  <c r="B198" i="4"/>
  <c r="I197" i="4"/>
  <c r="H197" i="4"/>
  <c r="E124" i="4" l="1"/>
  <c r="D124" i="4"/>
  <c r="B199" i="4"/>
  <c r="I199" i="4"/>
  <c r="H199" i="4"/>
  <c r="A200" i="4"/>
  <c r="I198" i="4"/>
  <c r="H198" i="4"/>
  <c r="J124" i="4" l="1"/>
  <c r="K124" i="4" s="1"/>
  <c r="F124" i="4"/>
  <c r="G124" i="4" s="1"/>
  <c r="C125" i="4" s="1"/>
  <c r="B200" i="4"/>
  <c r="A201" i="4"/>
  <c r="D125" i="4" l="1"/>
  <c r="E125" i="4"/>
  <c r="I201" i="4"/>
  <c r="H201" i="4"/>
  <c r="B201" i="4"/>
  <c r="A202" i="4"/>
  <c r="I200" i="4"/>
  <c r="H200" i="4"/>
  <c r="F125" i="4" l="1"/>
  <c r="G125" i="4" s="1"/>
  <c r="C126" i="4" s="1"/>
  <c r="J125" i="4"/>
  <c r="K125" i="4" s="1"/>
  <c r="A203" i="4"/>
  <c r="B202" i="4"/>
  <c r="D126" i="4" l="1"/>
  <c r="E126" i="4"/>
  <c r="B203" i="4"/>
  <c r="H203" i="4"/>
  <c r="A204" i="4"/>
  <c r="I203" i="4"/>
  <c r="I202" i="4"/>
  <c r="H202" i="4"/>
  <c r="F126" i="4" l="1"/>
  <c r="G126" i="4" s="1"/>
  <c r="C127" i="4" s="1"/>
  <c r="J126" i="4"/>
  <c r="K126" i="4" s="1"/>
  <c r="I204" i="4"/>
  <c r="A205" i="4"/>
  <c r="B204" i="4"/>
  <c r="H204" i="4"/>
  <c r="E127" i="4" l="1"/>
  <c r="D127" i="4"/>
  <c r="A206" i="4"/>
  <c r="B205" i="4"/>
  <c r="J127" i="4" l="1"/>
  <c r="K127" i="4" s="1"/>
  <c r="F127" i="4"/>
  <c r="G127" i="4" s="1"/>
  <c r="C128" i="4" s="1"/>
  <c r="H206" i="4"/>
  <c r="B206" i="4"/>
  <c r="A207" i="4"/>
  <c r="I206" i="4"/>
  <c r="H205" i="4"/>
  <c r="I205" i="4"/>
  <c r="E128" i="4" l="1"/>
  <c r="D128" i="4"/>
  <c r="B207" i="4"/>
  <c r="H207" i="4" s="1"/>
  <c r="I207" i="4"/>
  <c r="A208" i="4"/>
  <c r="J128" i="4" l="1"/>
  <c r="K128" i="4" s="1"/>
  <c r="F128" i="4"/>
  <c r="G128" i="4" s="1"/>
  <c r="C129" i="4" s="1"/>
  <c r="A209" i="4"/>
  <c r="B208" i="4"/>
  <c r="D129" i="4" l="1"/>
  <c r="E129" i="4"/>
  <c r="H209" i="4"/>
  <c r="A210" i="4"/>
  <c r="I209" i="4"/>
  <c r="B209" i="4"/>
  <c r="H208" i="4"/>
  <c r="I208" i="4"/>
  <c r="F129" i="4" l="1"/>
  <c r="G129" i="4" s="1"/>
  <c r="C130" i="4" s="1"/>
  <c r="J129" i="4"/>
  <c r="K129" i="4" s="1"/>
  <c r="B210" i="4"/>
  <c r="A211" i="4"/>
  <c r="E130" i="4" l="1"/>
  <c r="D130" i="4"/>
  <c r="B211" i="4"/>
  <c r="I211" i="4"/>
  <c r="A212" i="4"/>
  <c r="H211" i="4"/>
  <c r="H210" i="4"/>
  <c r="I210" i="4"/>
  <c r="F130" i="4" l="1"/>
  <c r="G130" i="4" s="1"/>
  <c r="C131" i="4" s="1"/>
  <c r="J130" i="4"/>
  <c r="K130" i="4" s="1"/>
  <c r="B212" i="4"/>
  <c r="I212" i="4" s="1"/>
  <c r="H212" i="4"/>
  <c r="A213" i="4"/>
  <c r="E131" i="4" l="1"/>
  <c r="D131" i="4"/>
  <c r="B213" i="4"/>
  <c r="A214" i="4"/>
  <c r="J131" i="4" l="1"/>
  <c r="K131" i="4" s="1"/>
  <c r="F131" i="4"/>
  <c r="G131" i="4" s="1"/>
  <c r="C132" i="4" s="1"/>
  <c r="B214" i="4"/>
  <c r="I214" i="4" s="1"/>
  <c r="A215" i="4"/>
  <c r="H214" i="4"/>
  <c r="H213" i="4"/>
  <c r="I213" i="4"/>
  <c r="D132" i="4" l="1"/>
  <c r="E132" i="4"/>
  <c r="B215" i="4"/>
  <c r="A216" i="4"/>
  <c r="F132" i="4" l="1"/>
  <c r="G132" i="4" s="1"/>
  <c r="C133" i="4" s="1"/>
  <c r="J132" i="4"/>
  <c r="K132" i="4" s="1"/>
  <c r="B216" i="4"/>
  <c r="H216" i="4" s="1"/>
  <c r="I216" i="4"/>
  <c r="A217" i="4"/>
  <c r="H215" i="4"/>
  <c r="I215" i="4"/>
  <c r="E133" i="4" l="1"/>
  <c r="D133" i="4"/>
  <c r="B217" i="4"/>
  <c r="A218" i="4"/>
  <c r="J133" i="4" l="1"/>
  <c r="K133" i="4" s="1"/>
  <c r="F133" i="4"/>
  <c r="G133" i="4" s="1"/>
  <c r="C134" i="4" s="1"/>
  <c r="B218" i="4"/>
  <c r="H218" i="4" s="1"/>
  <c r="A219" i="4"/>
  <c r="I218" i="4"/>
  <c r="I217" i="4"/>
  <c r="H217" i="4"/>
  <c r="E134" i="4" l="1"/>
  <c r="D134" i="4"/>
  <c r="B219" i="4"/>
  <c r="A220" i="4"/>
  <c r="H219" i="4"/>
  <c r="I219" i="4"/>
  <c r="F134" i="4" l="1"/>
  <c r="G134" i="4" s="1"/>
  <c r="C135" i="4" s="1"/>
  <c r="J134" i="4"/>
  <c r="K134" i="4" s="1"/>
  <c r="A221" i="4"/>
  <c r="B220" i="4"/>
  <c r="D135" i="4" l="1"/>
  <c r="E135" i="4"/>
  <c r="A222" i="4"/>
  <c r="B221" i="4"/>
  <c r="I221" i="4" s="1"/>
  <c r="H221" i="4"/>
  <c r="I220" i="4"/>
  <c r="H220" i="4"/>
  <c r="J135" i="4" l="1"/>
  <c r="K135" i="4" s="1"/>
  <c r="F135" i="4"/>
  <c r="G135" i="4" s="1"/>
  <c r="C136" i="4" s="1"/>
  <c r="A223" i="4"/>
  <c r="B222" i="4"/>
  <c r="I222" i="4" s="1"/>
  <c r="H222" i="4"/>
  <c r="E136" i="4" l="1"/>
  <c r="D136" i="4"/>
  <c r="A224" i="4"/>
  <c r="B223" i="4"/>
  <c r="I223" i="4" s="1"/>
  <c r="H223" i="4"/>
  <c r="F136" i="4" l="1"/>
  <c r="G136" i="4" s="1"/>
  <c r="C137" i="4" s="1"/>
  <c r="J136" i="4"/>
  <c r="K136" i="4" s="1"/>
  <c r="A225" i="4"/>
  <c r="B224" i="4"/>
  <c r="E137" i="4" l="1"/>
  <c r="D137" i="4"/>
  <c r="B225" i="4"/>
  <c r="H225" i="4" s="1"/>
  <c r="I225" i="4"/>
  <c r="A226" i="4"/>
  <c r="H224" i="4"/>
  <c r="I224" i="4"/>
  <c r="F137" i="4" l="1"/>
  <c r="G137" i="4" s="1"/>
  <c r="C138" i="4" s="1"/>
  <c r="J137" i="4"/>
  <c r="K137" i="4" s="1"/>
  <c r="B226" i="4"/>
  <c r="H226" i="4" s="1"/>
  <c r="A227" i="4"/>
  <c r="I226" i="4"/>
  <c r="E138" i="4" l="1"/>
  <c r="D138" i="4"/>
  <c r="A228" i="4"/>
  <c r="B227" i="4"/>
  <c r="F138" i="4" l="1"/>
  <c r="G138" i="4" s="1"/>
  <c r="C139" i="4" s="1"/>
  <c r="J138" i="4"/>
  <c r="K138" i="4" s="1"/>
  <c r="B228" i="4"/>
  <c r="I228" i="4" s="1"/>
  <c r="H228" i="4"/>
  <c r="A229" i="4"/>
  <c r="I227" i="4"/>
  <c r="H227" i="4"/>
  <c r="D139" i="4" l="1"/>
  <c r="E139" i="4"/>
  <c r="B229" i="4"/>
  <c r="I229" i="4" s="1"/>
  <c r="H229" i="4"/>
  <c r="A230" i="4"/>
  <c r="F139" i="4" l="1"/>
  <c r="G139" i="4" s="1"/>
  <c r="C140" i="4" s="1"/>
  <c r="J139" i="4"/>
  <c r="K139" i="4" s="1"/>
  <c r="B230" i="4"/>
  <c r="A231" i="4"/>
  <c r="E140" i="4" l="1"/>
  <c r="D140" i="4"/>
  <c r="B231" i="4"/>
  <c r="H231" i="4" s="1"/>
  <c r="A232" i="4"/>
  <c r="I231" i="4"/>
  <c r="I230" i="4"/>
  <c r="H230" i="4"/>
  <c r="J140" i="4" l="1"/>
  <c r="K140" i="4" s="1"/>
  <c r="F140" i="4"/>
  <c r="G140" i="4" s="1"/>
  <c r="C141" i="4" s="1"/>
  <c r="B232" i="4"/>
  <c r="A233" i="4"/>
  <c r="H232" i="4"/>
  <c r="I232" i="4"/>
  <c r="D141" i="4" l="1"/>
  <c r="E141" i="4"/>
  <c r="B233" i="4"/>
  <c r="H233" i="4" s="1"/>
  <c r="I233" i="4"/>
  <c r="A234" i="4"/>
  <c r="J141" i="4" l="1"/>
  <c r="K141" i="4" s="1"/>
  <c r="F141" i="4"/>
  <c r="G141" i="4" s="1"/>
  <c r="C142" i="4" s="1"/>
  <c r="A235" i="4"/>
  <c r="B234" i="4"/>
  <c r="D142" i="4" l="1"/>
  <c r="E142" i="4"/>
  <c r="B235" i="4"/>
  <c r="A236" i="4"/>
  <c r="H234" i="4"/>
  <c r="I234" i="4"/>
  <c r="J142" i="4" l="1"/>
  <c r="K142" i="4" s="1"/>
  <c r="F142" i="4"/>
  <c r="G142" i="4" s="1"/>
  <c r="C143" i="4" s="1"/>
  <c r="H236" i="4"/>
  <c r="A237" i="4"/>
  <c r="B236" i="4"/>
  <c r="I236" i="4" s="1"/>
  <c r="H235" i="4"/>
  <c r="I235" i="4"/>
  <c r="D143" i="4" l="1"/>
  <c r="E143" i="4"/>
  <c r="A238" i="4"/>
  <c r="B237" i="4"/>
  <c r="J143" i="4" l="1"/>
  <c r="K143" i="4" s="1"/>
  <c r="F143" i="4"/>
  <c r="G143" i="4" s="1"/>
  <c r="C144" i="4" s="1"/>
  <c r="B238" i="4"/>
  <c r="A239" i="4"/>
  <c r="I237" i="4"/>
  <c r="H237" i="4"/>
  <c r="E144" i="4" l="1"/>
  <c r="D144" i="4"/>
  <c r="B239" i="4"/>
  <c r="A240" i="4"/>
  <c r="I238" i="4"/>
  <c r="H238" i="4"/>
  <c r="F144" i="4" l="1"/>
  <c r="G144" i="4" s="1"/>
  <c r="C145" i="4" s="1"/>
  <c r="J144" i="4"/>
  <c r="K144" i="4" s="1"/>
  <c r="B240" i="4"/>
  <c r="A241" i="4"/>
  <c r="H239" i="4"/>
  <c r="I239" i="4"/>
  <c r="E145" i="4" l="1"/>
  <c r="D145" i="4"/>
  <c r="A242" i="4"/>
  <c r="B241" i="4"/>
  <c r="H240" i="4"/>
  <c r="I240" i="4"/>
  <c r="F145" i="4" l="1"/>
  <c r="G145" i="4" s="1"/>
  <c r="C146" i="4" s="1"/>
  <c r="J145" i="4"/>
  <c r="K145" i="4" s="1"/>
  <c r="A243" i="4"/>
  <c r="B242" i="4"/>
  <c r="H241" i="4"/>
  <c r="I241" i="4"/>
  <c r="D146" i="4" l="1"/>
  <c r="E146" i="4"/>
  <c r="B243" i="4"/>
  <c r="A244" i="4"/>
  <c r="I242" i="4"/>
  <c r="H242" i="4"/>
  <c r="F146" i="4" l="1"/>
  <c r="G146" i="4" s="1"/>
  <c r="C147" i="4" s="1"/>
  <c r="J146" i="4"/>
  <c r="K146" i="4" s="1"/>
  <c r="A245" i="4"/>
  <c r="B244" i="4"/>
  <c r="H243" i="4"/>
  <c r="I243" i="4"/>
  <c r="D147" i="4" l="1"/>
  <c r="E147" i="4"/>
  <c r="B245" i="4"/>
  <c r="A246" i="4"/>
  <c r="I244" i="4"/>
  <c r="H244" i="4"/>
  <c r="J147" i="4" l="1"/>
  <c r="K147" i="4" s="1"/>
  <c r="F147" i="4"/>
  <c r="G147" i="4" s="1"/>
  <c r="C148" i="4" s="1"/>
  <c r="H246" i="4"/>
  <c r="A247" i="4"/>
  <c r="B246" i="4"/>
  <c r="I246" i="4"/>
  <c r="I245" i="4"/>
  <c r="H245" i="4"/>
  <c r="E148" i="4" l="1"/>
  <c r="D148" i="4"/>
  <c r="B247" i="4"/>
  <c r="I247" i="4" s="1"/>
  <c r="A248" i="4"/>
  <c r="H247" i="4"/>
  <c r="F148" i="4" l="1"/>
  <c r="G148" i="4" s="1"/>
  <c r="C149" i="4" s="1"/>
  <c r="J148" i="4"/>
  <c r="K148" i="4" s="1"/>
  <c r="A249" i="4"/>
  <c r="B248" i="4"/>
  <c r="H248" i="4" s="1"/>
  <c r="I248" i="4"/>
  <c r="E149" i="4" l="1"/>
  <c r="D149" i="4"/>
  <c r="B249" i="4"/>
  <c r="A250" i="4"/>
  <c r="F149" i="4" l="1"/>
  <c r="G149" i="4" s="1"/>
  <c r="C150" i="4" s="1"/>
  <c r="J149" i="4"/>
  <c r="K149" i="4" s="1"/>
  <c r="A251" i="4"/>
  <c r="B250" i="4"/>
  <c r="H249" i="4"/>
  <c r="I249" i="4"/>
  <c r="D150" i="4" l="1"/>
  <c r="E150" i="4"/>
  <c r="A252" i="4"/>
  <c r="I251" i="4"/>
  <c r="B251" i="4"/>
  <c r="H251" i="4" s="1"/>
  <c r="I250" i="4"/>
  <c r="H250" i="4"/>
  <c r="F150" i="4" l="1"/>
  <c r="G150" i="4" s="1"/>
  <c r="C151" i="4" s="1"/>
  <c r="J150" i="4"/>
  <c r="K150" i="4" s="1"/>
  <c r="B252" i="4"/>
  <c r="A253" i="4"/>
  <c r="D151" i="4" l="1"/>
  <c r="E151" i="4"/>
  <c r="B253" i="4"/>
  <c r="A254" i="4"/>
  <c r="H252" i="4"/>
  <c r="I252" i="4"/>
  <c r="F151" i="4" l="1"/>
  <c r="G151" i="4" s="1"/>
  <c r="C152" i="4" s="1"/>
  <c r="J151" i="4"/>
  <c r="K151" i="4" s="1"/>
  <c r="B254" i="4"/>
  <c r="H254" i="4" s="1"/>
  <c r="I254" i="4"/>
  <c r="A255" i="4"/>
  <c r="I253" i="4"/>
  <c r="H253" i="4"/>
  <c r="D152" i="4" l="1"/>
  <c r="E152" i="4"/>
  <c r="B255" i="4"/>
  <c r="I255" i="4" s="1"/>
  <c r="H255" i="4"/>
  <c r="A256" i="4"/>
  <c r="F152" i="4" l="1"/>
  <c r="G152" i="4" s="1"/>
  <c r="C153" i="4" s="1"/>
  <c r="J152" i="4"/>
  <c r="K152" i="4" s="1"/>
  <c r="H256" i="4"/>
  <c r="A257" i="4"/>
  <c r="B256" i="4"/>
  <c r="I256" i="4" s="1"/>
  <c r="E153" i="4" l="1"/>
  <c r="D153" i="4"/>
  <c r="B257" i="4"/>
  <c r="I257" i="4" s="1"/>
  <c r="H257" i="4"/>
  <c r="A258" i="4"/>
  <c r="F153" i="4" l="1"/>
  <c r="G153" i="4" s="1"/>
  <c r="C154" i="4" s="1"/>
  <c r="J153" i="4"/>
  <c r="K153" i="4" s="1"/>
  <c r="B258" i="4"/>
  <c r="A259" i="4"/>
  <c r="D154" i="4" l="1"/>
  <c r="E154" i="4"/>
  <c r="B259" i="4"/>
  <c r="H259" i="4"/>
  <c r="A260" i="4"/>
  <c r="I259" i="4"/>
  <c r="H258" i="4"/>
  <c r="I258" i="4"/>
  <c r="J154" i="4" l="1"/>
  <c r="K154" i="4" s="1"/>
  <c r="F154" i="4"/>
  <c r="G154" i="4" s="1"/>
  <c r="C155" i="4" s="1"/>
  <c r="B260" i="4"/>
  <c r="A261" i="4"/>
  <c r="E155" i="4" l="1"/>
  <c r="D155" i="4"/>
  <c r="B261" i="4"/>
  <c r="A262" i="4"/>
  <c r="H261" i="4"/>
  <c r="I261" i="4"/>
  <c r="I260" i="4"/>
  <c r="H260" i="4"/>
  <c r="J155" i="4" l="1"/>
  <c r="K155" i="4" s="1"/>
  <c r="F155" i="4"/>
  <c r="G155" i="4" s="1"/>
  <c r="C156" i="4" s="1"/>
  <c r="B262" i="4"/>
  <c r="H262" i="4" s="1"/>
  <c r="A263" i="4"/>
  <c r="I262" i="4"/>
  <c r="D156" i="4" l="1"/>
  <c r="E156" i="4"/>
  <c r="A264" i="4"/>
  <c r="B263" i="4"/>
  <c r="J156" i="4" l="1"/>
  <c r="K156" i="4" s="1"/>
  <c r="F156" i="4"/>
  <c r="G156" i="4" s="1"/>
  <c r="C157" i="4" s="1"/>
  <c r="B264" i="4"/>
  <c r="A265" i="4"/>
  <c r="I263" i="4"/>
  <c r="H263" i="4"/>
  <c r="E157" i="4" l="1"/>
  <c r="D157" i="4"/>
  <c r="B265" i="4"/>
  <c r="I265" i="4" s="1"/>
  <c r="H265" i="4"/>
  <c r="A266" i="4"/>
  <c r="H264" i="4"/>
  <c r="I264" i="4"/>
  <c r="F157" i="4" l="1"/>
  <c r="G157" i="4" s="1"/>
  <c r="C158" i="4" s="1"/>
  <c r="J157" i="4"/>
  <c r="K157" i="4" s="1"/>
  <c r="B266" i="4"/>
  <c r="I266" i="4" s="1"/>
  <c r="H266" i="4"/>
  <c r="A267" i="4"/>
  <c r="D158" i="4" l="1"/>
  <c r="E158" i="4"/>
  <c r="A268" i="4"/>
  <c r="B267" i="4"/>
  <c r="H267" i="4" s="1"/>
  <c r="I267" i="4"/>
  <c r="J158" i="4" l="1"/>
  <c r="K158" i="4" s="1"/>
  <c r="F158" i="4"/>
  <c r="G158" i="4" s="1"/>
  <c r="C159" i="4" s="1"/>
  <c r="A269" i="4"/>
  <c r="B268" i="4"/>
  <c r="E159" i="4" l="1"/>
  <c r="D159" i="4"/>
  <c r="B269" i="4"/>
  <c r="I269" i="4" s="1"/>
  <c r="A270" i="4"/>
  <c r="H269" i="4"/>
  <c r="H268" i="4"/>
  <c r="I268" i="4"/>
  <c r="F159" i="4" l="1"/>
  <c r="G159" i="4" s="1"/>
  <c r="C160" i="4" s="1"/>
  <c r="J159" i="4"/>
  <c r="K159" i="4" s="1"/>
  <c r="B270" i="4"/>
  <c r="A271" i="4"/>
  <c r="E160" i="4" l="1"/>
  <c r="D160" i="4"/>
  <c r="A272" i="4"/>
  <c r="B271" i="4"/>
  <c r="H270" i="4"/>
  <c r="I270" i="4"/>
  <c r="J160" i="4" l="1"/>
  <c r="K160" i="4" s="1"/>
  <c r="F160" i="4"/>
  <c r="G160" i="4" s="1"/>
  <c r="C161" i="4" s="1"/>
  <c r="B272" i="4"/>
  <c r="A273" i="4"/>
  <c r="I272" i="4"/>
  <c r="H272" i="4"/>
  <c r="H271" i="4"/>
  <c r="I271" i="4"/>
  <c r="E161" i="4" l="1"/>
  <c r="D161" i="4"/>
  <c r="H273" i="4"/>
  <c r="A274" i="4"/>
  <c r="B273" i="4"/>
  <c r="I273" i="4" s="1"/>
  <c r="F161" i="4" l="1"/>
  <c r="G161" i="4" s="1"/>
  <c r="C162" i="4" s="1"/>
  <c r="J161" i="4"/>
  <c r="K161" i="4" s="1"/>
  <c r="B274" i="4"/>
  <c r="A275" i="4"/>
  <c r="E162" i="4" l="1"/>
  <c r="D162" i="4"/>
  <c r="J162" i="4" s="1"/>
  <c r="K162" i="4" s="1"/>
  <c r="B275" i="4"/>
  <c r="A276" i="4"/>
  <c r="I274" i="4"/>
  <c r="H274" i="4"/>
  <c r="F162" i="4" l="1"/>
  <c r="G162" i="4" s="1"/>
  <c r="C163" i="4" s="1"/>
  <c r="E163" i="4"/>
  <c r="D163" i="4"/>
  <c r="B276" i="4"/>
  <c r="A277" i="4"/>
  <c r="H275" i="4"/>
  <c r="I275" i="4"/>
  <c r="J163" i="4" l="1"/>
  <c r="K163" i="4" s="1"/>
  <c r="F163" i="4"/>
  <c r="G163" i="4" s="1"/>
  <c r="C164" i="4" s="1"/>
  <c r="A278" i="4"/>
  <c r="B277" i="4"/>
  <c r="H277" i="4"/>
  <c r="I277" i="4"/>
  <c r="H276" i="4"/>
  <c r="I276" i="4"/>
  <c r="E164" i="4" l="1"/>
  <c r="D164" i="4"/>
  <c r="B278" i="4"/>
  <c r="A279" i="4"/>
  <c r="F164" i="4" l="1"/>
  <c r="G164" i="4" s="1"/>
  <c r="C165" i="4" s="1"/>
  <c r="J164" i="4"/>
  <c r="K164" i="4" s="1"/>
  <c r="A280" i="4"/>
  <c r="B279" i="4"/>
  <c r="H278" i="4"/>
  <c r="I278" i="4"/>
  <c r="D165" i="4" l="1"/>
  <c r="E165" i="4"/>
  <c r="A281" i="4"/>
  <c r="H280" i="4"/>
  <c r="B280" i="4"/>
  <c r="I280" i="4" s="1"/>
  <c r="H279" i="4"/>
  <c r="I279" i="4"/>
  <c r="F165" i="4" l="1"/>
  <c r="G165" i="4" s="1"/>
  <c r="C166" i="4" s="1"/>
  <c r="J165" i="4"/>
  <c r="K165" i="4" s="1"/>
  <c r="B281" i="4"/>
  <c r="H281" i="4" s="1"/>
  <c r="I281" i="4"/>
  <c r="A282" i="4"/>
  <c r="E166" i="4" l="1"/>
  <c r="D166" i="4"/>
  <c r="A283" i="4"/>
  <c r="B282" i="4"/>
  <c r="F166" i="4" l="1"/>
  <c r="G166" i="4" s="1"/>
  <c r="C167" i="4" s="1"/>
  <c r="J166" i="4"/>
  <c r="K166" i="4" s="1"/>
  <c r="A284" i="4"/>
  <c r="B283" i="4"/>
  <c r="I282" i="4"/>
  <c r="H282" i="4"/>
  <c r="D167" i="4" l="1"/>
  <c r="E167" i="4"/>
  <c r="B284" i="4"/>
  <c r="H284" i="4" s="1"/>
  <c r="I284" i="4"/>
  <c r="A285" i="4"/>
  <c r="I283" i="4"/>
  <c r="H283" i="4"/>
  <c r="F167" i="4" l="1"/>
  <c r="G167" i="4" s="1"/>
  <c r="C168" i="4" s="1"/>
  <c r="J167" i="4"/>
  <c r="K167" i="4" s="1"/>
  <c r="B285" i="4"/>
  <c r="A286" i="4"/>
  <c r="D168" i="4" l="1"/>
  <c r="E168" i="4"/>
  <c r="B286" i="4"/>
  <c r="H286" i="4"/>
  <c r="I286" i="4"/>
  <c r="A287" i="4"/>
  <c r="H285" i="4"/>
  <c r="I285" i="4"/>
  <c r="J168" i="4" l="1"/>
  <c r="K168" i="4" s="1"/>
  <c r="F168" i="4"/>
  <c r="G168" i="4" s="1"/>
  <c r="C169" i="4" s="1"/>
  <c r="B287" i="4"/>
  <c r="H287" i="4"/>
  <c r="I287" i="4"/>
  <c r="A288" i="4"/>
  <c r="D169" i="4" l="1"/>
  <c r="E169" i="4"/>
  <c r="B288" i="4"/>
  <c r="H288" i="4"/>
  <c r="I288" i="4"/>
  <c r="A289" i="4"/>
  <c r="J169" i="4" l="1"/>
  <c r="K169" i="4" s="1"/>
  <c r="F169" i="4"/>
  <c r="G169" i="4" s="1"/>
  <c r="C170" i="4" s="1"/>
  <c r="B289" i="4"/>
  <c r="A290" i="4"/>
  <c r="D170" i="4" l="1"/>
  <c r="E170" i="4"/>
  <c r="B290" i="4"/>
  <c r="I290" i="4"/>
  <c r="H290" i="4"/>
  <c r="A291" i="4"/>
  <c r="H289" i="4"/>
  <c r="I289" i="4"/>
  <c r="F170" i="4" l="1"/>
  <c r="G170" i="4" s="1"/>
  <c r="C171" i="4" s="1"/>
  <c r="J170" i="4"/>
  <c r="K170" i="4" s="1"/>
  <c r="I291" i="4"/>
  <c r="A292" i="4"/>
  <c r="B291" i="4"/>
  <c r="H291" i="4"/>
  <c r="D171" i="4" l="1"/>
  <c r="E171" i="4"/>
  <c r="B292" i="4"/>
  <c r="A293" i="4"/>
  <c r="J171" i="4" l="1"/>
  <c r="K171" i="4" s="1"/>
  <c r="F171" i="4"/>
  <c r="G171" i="4" s="1"/>
  <c r="C172" i="4" s="1"/>
  <c r="B293" i="4"/>
  <c r="I293" i="4" s="1"/>
  <c r="A294" i="4"/>
  <c r="H293" i="4"/>
  <c r="H292" i="4"/>
  <c r="I292" i="4"/>
  <c r="E172" i="4" l="1"/>
  <c r="D172" i="4"/>
  <c r="I294" i="4"/>
  <c r="H294" i="4"/>
  <c r="A295" i="4"/>
  <c r="B294" i="4"/>
  <c r="F172" i="4" l="1"/>
  <c r="G172" i="4" s="1"/>
  <c r="C173" i="4" s="1"/>
  <c r="J172" i="4"/>
  <c r="K172" i="4" s="1"/>
  <c r="B295" i="4"/>
  <c r="I295" i="4" s="1"/>
  <c r="A296" i="4"/>
  <c r="H295" i="4"/>
  <c r="E173" i="4" l="1"/>
  <c r="D173" i="4"/>
  <c r="B296" i="4"/>
  <c r="H296" i="4" s="1"/>
  <c r="I296" i="4"/>
  <c r="A297" i="4"/>
  <c r="J173" i="4" l="1"/>
  <c r="K173" i="4" s="1"/>
  <c r="F173" i="4"/>
  <c r="G173" i="4" s="1"/>
  <c r="C174" i="4" s="1"/>
  <c r="B297" i="4"/>
  <c r="H297" i="4" s="1"/>
  <c r="I297" i="4"/>
  <c r="A298" i="4"/>
  <c r="E174" i="4" l="1"/>
  <c r="D174" i="4"/>
  <c r="A299" i="4"/>
  <c r="B298" i="4"/>
  <c r="F174" i="4" l="1"/>
  <c r="G174" i="4" s="1"/>
  <c r="C175" i="4" s="1"/>
  <c r="J174" i="4"/>
  <c r="K174" i="4" s="1"/>
  <c r="A300" i="4"/>
  <c r="B299" i="4"/>
  <c r="I299" i="4" s="1"/>
  <c r="H299" i="4"/>
  <c r="I298" i="4"/>
  <c r="H298" i="4"/>
  <c r="E175" i="4" l="1"/>
  <c r="D175" i="4"/>
  <c r="A301" i="4"/>
  <c r="B300" i="4"/>
  <c r="H300" i="4"/>
  <c r="I300" i="4"/>
  <c r="F175" i="4" l="1"/>
  <c r="G175" i="4" s="1"/>
  <c r="C176" i="4" s="1"/>
  <c r="J175" i="4"/>
  <c r="K175" i="4" s="1"/>
  <c r="B301" i="4"/>
  <c r="I301" i="4"/>
  <c r="A302" i="4"/>
  <c r="H301" i="4"/>
  <c r="E176" i="4" l="1"/>
  <c r="D176" i="4"/>
  <c r="B302" i="4"/>
  <c r="A303" i="4"/>
  <c r="J176" i="4" l="1"/>
  <c r="K176" i="4" s="1"/>
  <c r="F176" i="4"/>
  <c r="G176" i="4" s="1"/>
  <c r="C177" i="4" s="1"/>
  <c r="H303" i="4"/>
  <c r="A304" i="4"/>
  <c r="B303" i="4"/>
  <c r="I303" i="4" s="1"/>
  <c r="I302" i="4"/>
  <c r="H302" i="4"/>
  <c r="E177" i="4" l="1"/>
  <c r="D177" i="4"/>
  <c r="I304" i="4"/>
  <c r="A305" i="4"/>
  <c r="B304" i="4"/>
  <c r="H304" i="4"/>
  <c r="F177" i="4" l="1"/>
  <c r="G177" i="4" s="1"/>
  <c r="C178" i="4" s="1"/>
  <c r="J177" i="4"/>
  <c r="K177" i="4" s="1"/>
  <c r="B305" i="4"/>
  <c r="H305" i="4" s="1"/>
  <c r="A306" i="4"/>
  <c r="I305" i="4"/>
  <c r="E178" i="4" l="1"/>
  <c r="D178" i="4"/>
  <c r="H306" i="4"/>
  <c r="I306" i="4"/>
  <c r="A307" i="4"/>
  <c r="B306" i="4"/>
  <c r="F178" i="4" l="1"/>
  <c r="G178" i="4" s="1"/>
  <c r="C179" i="4" s="1"/>
  <c r="J178" i="4"/>
  <c r="K178" i="4" s="1"/>
  <c r="B307" i="4"/>
  <c r="H307" i="4"/>
  <c r="I307" i="4"/>
  <c r="A308" i="4"/>
  <c r="E179" i="4" l="1"/>
  <c r="D179" i="4"/>
  <c r="I308" i="4"/>
  <c r="B308" i="4"/>
  <c r="H308" i="4"/>
  <c r="A309" i="4"/>
  <c r="F179" i="4" l="1"/>
  <c r="G179" i="4" s="1"/>
  <c r="C180" i="4" s="1"/>
  <c r="J179" i="4"/>
  <c r="K179" i="4" s="1"/>
  <c r="A310" i="4"/>
  <c r="B309" i="4"/>
  <c r="D180" i="4" l="1"/>
  <c r="E180" i="4"/>
  <c r="B310" i="4"/>
  <c r="I310" i="4" s="1"/>
  <c r="H310" i="4"/>
  <c r="A311" i="4"/>
  <c r="H309" i="4"/>
  <c r="I309" i="4"/>
  <c r="F180" i="4" l="1"/>
  <c r="G180" i="4" s="1"/>
  <c r="C181" i="4" s="1"/>
  <c r="J180" i="4"/>
  <c r="K180" i="4" s="1"/>
  <c r="B311" i="4"/>
  <c r="I311" i="4"/>
  <c r="H311" i="4"/>
  <c r="A312" i="4"/>
  <c r="D181" i="4" l="1"/>
  <c r="E181" i="4"/>
  <c r="B312" i="4"/>
  <c r="A313" i="4"/>
  <c r="F181" i="4" l="1"/>
  <c r="G181" i="4" s="1"/>
  <c r="C182" i="4" s="1"/>
  <c r="J181" i="4"/>
  <c r="K181" i="4" s="1"/>
  <c r="A314" i="4"/>
  <c r="B313" i="4"/>
  <c r="H312" i="4"/>
  <c r="I312" i="4"/>
  <c r="E182" i="4" l="1"/>
  <c r="D182" i="4"/>
  <c r="A315" i="4"/>
  <c r="B314" i="4"/>
  <c r="H314" i="4" s="1"/>
  <c r="I314" i="4"/>
  <c r="H313" i="4"/>
  <c r="I313" i="4"/>
  <c r="F182" i="4" l="1"/>
  <c r="G182" i="4" s="1"/>
  <c r="C183" i="4" s="1"/>
  <c r="J182" i="4"/>
  <c r="K182" i="4" s="1"/>
  <c r="A316" i="4"/>
  <c r="B315" i="4"/>
  <c r="D183" i="4" l="1"/>
  <c r="E183" i="4"/>
  <c r="A317" i="4"/>
  <c r="B316" i="4"/>
  <c r="H316" i="4" s="1"/>
  <c r="I316" i="4"/>
  <c r="I315" i="4"/>
  <c r="H315" i="4"/>
  <c r="F183" i="4" l="1"/>
  <c r="G183" i="4" s="1"/>
  <c r="C184" i="4" s="1"/>
  <c r="J183" i="4"/>
  <c r="K183" i="4" s="1"/>
  <c r="B317" i="4"/>
  <c r="H317" i="4" s="1"/>
  <c r="I317" i="4"/>
  <c r="A318" i="4"/>
  <c r="D184" i="4" l="1"/>
  <c r="E184" i="4"/>
  <c r="B318" i="4"/>
  <c r="A319" i="4"/>
  <c r="F184" i="4" l="1"/>
  <c r="G184" i="4" s="1"/>
  <c r="C185" i="4" s="1"/>
  <c r="J184" i="4"/>
  <c r="K184" i="4" s="1"/>
  <c r="B319" i="4"/>
  <c r="A320" i="4"/>
  <c r="H318" i="4"/>
  <c r="I318" i="4"/>
  <c r="E185" i="4" l="1"/>
  <c r="D185" i="4"/>
  <c r="B320" i="4"/>
  <c r="H320" i="4"/>
  <c r="I320" i="4"/>
  <c r="A321" i="4"/>
  <c r="I319" i="4"/>
  <c r="H319" i="4"/>
  <c r="J185" i="4" l="1"/>
  <c r="K185" i="4" s="1"/>
  <c r="F185" i="4"/>
  <c r="G185" i="4" s="1"/>
  <c r="C186" i="4" s="1"/>
  <c r="B321" i="4"/>
  <c r="H321" i="4"/>
  <c r="A322" i="4"/>
  <c r="I321" i="4"/>
  <c r="E186" i="4" l="1"/>
  <c r="D186" i="4"/>
  <c r="A323" i="4"/>
  <c r="B322" i="4"/>
  <c r="J186" i="4" l="1"/>
  <c r="K186" i="4" s="1"/>
  <c r="F186" i="4"/>
  <c r="G186" i="4" s="1"/>
  <c r="C187" i="4" s="1"/>
  <c r="B323" i="4"/>
  <c r="H323" i="4" s="1"/>
  <c r="I323" i="4"/>
  <c r="A324" i="4"/>
  <c r="H322" i="4"/>
  <c r="I322" i="4"/>
  <c r="E187" i="4" l="1"/>
  <c r="D187" i="4"/>
  <c r="B324" i="4"/>
  <c r="H324" i="4" s="1"/>
  <c r="I324" i="4"/>
  <c r="A325" i="4"/>
  <c r="F187" i="4" l="1"/>
  <c r="G187" i="4" s="1"/>
  <c r="C188" i="4" s="1"/>
  <c r="J187" i="4"/>
  <c r="K187" i="4" s="1"/>
  <c r="B325" i="4"/>
  <c r="A326" i="4"/>
  <c r="D188" i="4" l="1"/>
  <c r="E188" i="4"/>
  <c r="A327" i="4"/>
  <c r="B326" i="4"/>
  <c r="I326" i="4" s="1"/>
  <c r="H326" i="4"/>
  <c r="H325" i="4"/>
  <c r="I325" i="4"/>
  <c r="J188" i="4" l="1"/>
  <c r="K188" i="4" s="1"/>
  <c r="F188" i="4"/>
  <c r="G188" i="4" s="1"/>
  <c r="C189" i="4" s="1"/>
  <c r="A328" i="4"/>
  <c r="B327" i="4"/>
  <c r="I327" i="4"/>
  <c r="H327" i="4"/>
  <c r="E189" i="4" l="1"/>
  <c r="D189" i="4"/>
  <c r="B328" i="4"/>
  <c r="A329" i="4"/>
  <c r="F189" i="4" l="1"/>
  <c r="G189" i="4" s="1"/>
  <c r="C190" i="4" s="1"/>
  <c r="J189" i="4"/>
  <c r="K189" i="4" s="1"/>
  <c r="I329" i="4"/>
  <c r="A330" i="4"/>
  <c r="B329" i="4"/>
  <c r="H329" i="4" s="1"/>
  <c r="H328" i="4"/>
  <c r="I328" i="4"/>
  <c r="D190" i="4" l="1"/>
  <c r="E190" i="4"/>
  <c r="B330" i="4"/>
  <c r="H330" i="4" s="1"/>
  <c r="I330" i="4"/>
  <c r="A331" i="4"/>
  <c r="F190" i="4" l="1"/>
  <c r="G190" i="4" s="1"/>
  <c r="C191" i="4" s="1"/>
  <c r="J190" i="4"/>
  <c r="K190" i="4" s="1"/>
  <c r="B331" i="4"/>
  <c r="H331" i="4" s="1"/>
  <c r="I331" i="4"/>
  <c r="A332" i="4"/>
  <c r="E191" i="4" l="1"/>
  <c r="D191" i="4"/>
  <c r="B332" i="4"/>
  <c r="H332" i="4" s="1"/>
  <c r="I332" i="4"/>
  <c r="A333" i="4"/>
  <c r="F191" i="4" l="1"/>
  <c r="G191" i="4" s="1"/>
  <c r="C192" i="4" s="1"/>
  <c r="J191" i="4"/>
  <c r="K191" i="4" s="1"/>
  <c r="H333" i="4"/>
  <c r="B333" i="4"/>
  <c r="I333" i="4"/>
  <c r="A334" i="4"/>
  <c r="E192" i="4" l="1"/>
  <c r="D192" i="4"/>
  <c r="A335" i="4"/>
  <c r="B334" i="4"/>
  <c r="I334" i="4" s="1"/>
  <c r="H334" i="4"/>
  <c r="J192" i="4" l="1"/>
  <c r="K192" i="4" s="1"/>
  <c r="F192" i="4"/>
  <c r="G192" i="4" s="1"/>
  <c r="C193" i="4" s="1"/>
  <c r="B335" i="4"/>
  <c r="H335" i="4" s="1"/>
  <c r="I335" i="4"/>
  <c r="A336" i="4"/>
  <c r="E193" i="4" l="1"/>
  <c r="D193" i="4"/>
  <c r="B336" i="4"/>
  <c r="I336" i="4" s="1"/>
  <c r="A337" i="4"/>
  <c r="H336" i="4"/>
  <c r="F193" i="4" l="1"/>
  <c r="G193" i="4" s="1"/>
  <c r="C194" i="4" s="1"/>
  <c r="J193" i="4"/>
  <c r="K193" i="4" s="1"/>
  <c r="B337" i="4"/>
  <c r="A338" i="4"/>
  <c r="D194" i="4" l="1"/>
  <c r="E194" i="4"/>
  <c r="A339" i="4"/>
  <c r="B338" i="4"/>
  <c r="H337" i="4"/>
  <c r="I337" i="4"/>
  <c r="J194" i="4" l="1"/>
  <c r="K194" i="4" s="1"/>
  <c r="F194" i="4"/>
  <c r="G194" i="4" s="1"/>
  <c r="C195" i="4" s="1"/>
  <c r="A340" i="4"/>
  <c r="B339" i="4"/>
  <c r="I338" i="4"/>
  <c r="H338" i="4"/>
  <c r="D195" i="4" l="1"/>
  <c r="E195" i="4"/>
  <c r="A341" i="4"/>
  <c r="B340" i="4"/>
  <c r="H339" i="4"/>
  <c r="I339" i="4"/>
  <c r="F195" i="4" l="1"/>
  <c r="G195" i="4" s="1"/>
  <c r="C196" i="4" s="1"/>
  <c r="J195" i="4"/>
  <c r="K195" i="4" s="1"/>
  <c r="A342" i="4"/>
  <c r="B341" i="4"/>
  <c r="H340" i="4"/>
  <c r="I340" i="4"/>
  <c r="E196" i="4" l="1"/>
  <c r="D196" i="4"/>
  <c r="B342" i="4"/>
  <c r="A343" i="4"/>
  <c r="I341" i="4"/>
  <c r="H341" i="4"/>
  <c r="J196" i="4" l="1"/>
  <c r="K196" i="4" s="1"/>
  <c r="F196" i="4"/>
  <c r="G196" i="4" s="1"/>
  <c r="C197" i="4" s="1"/>
  <c r="B343" i="4"/>
  <c r="I343" i="4" s="1"/>
  <c r="H343" i="4"/>
  <c r="A344" i="4"/>
  <c r="H342" i="4"/>
  <c r="I342" i="4"/>
  <c r="D197" i="4" l="1"/>
  <c r="E197" i="4"/>
  <c r="B344" i="4"/>
  <c r="A345" i="4"/>
  <c r="F197" i="4" l="1"/>
  <c r="G197" i="4" s="1"/>
  <c r="C198" i="4" s="1"/>
  <c r="J197" i="4"/>
  <c r="K197" i="4" s="1"/>
  <c r="B345" i="4"/>
  <c r="H345" i="4" s="1"/>
  <c r="I345" i="4"/>
  <c r="A346" i="4"/>
  <c r="H344" i="4"/>
  <c r="I344" i="4"/>
  <c r="D198" i="4" l="1"/>
  <c r="E198" i="4"/>
  <c r="A347" i="4"/>
  <c r="B346" i="4"/>
  <c r="H346" i="4" s="1"/>
  <c r="I346" i="4"/>
  <c r="F198" i="4" l="1"/>
  <c r="G198" i="4" s="1"/>
  <c r="C199" i="4" s="1"/>
  <c r="J198" i="4"/>
  <c r="K198" i="4" s="1"/>
  <c r="B347" i="4"/>
  <c r="I347" i="4" s="1"/>
  <c r="H347" i="4"/>
  <c r="A348" i="4"/>
  <c r="D199" i="4" l="1"/>
  <c r="E199" i="4"/>
  <c r="B348" i="4"/>
  <c r="I348" i="4" s="1"/>
  <c r="H348" i="4"/>
  <c r="A349" i="4"/>
  <c r="F199" i="4" l="1"/>
  <c r="G199" i="4" s="1"/>
  <c r="C200" i="4" s="1"/>
  <c r="J199" i="4"/>
  <c r="K199" i="4" s="1"/>
  <c r="A350" i="4"/>
  <c r="B349" i="4"/>
  <c r="E200" i="4" l="1"/>
  <c r="D200" i="4"/>
  <c r="B350" i="4"/>
  <c r="H350" i="4" s="1"/>
  <c r="I350" i="4"/>
  <c r="A351" i="4"/>
  <c r="H349" i="4"/>
  <c r="I349" i="4"/>
  <c r="F200" i="4" l="1"/>
  <c r="G200" i="4" s="1"/>
  <c r="C201" i="4" s="1"/>
  <c r="J200" i="4"/>
  <c r="K200" i="4" s="1"/>
  <c r="B351" i="4"/>
  <c r="H351" i="4" s="1"/>
  <c r="I351" i="4"/>
  <c r="A352" i="4"/>
  <c r="D201" i="4" l="1"/>
  <c r="E201" i="4"/>
  <c r="A353" i="4"/>
  <c r="B352" i="4"/>
  <c r="J201" i="4" l="1"/>
  <c r="K201" i="4" s="1"/>
  <c r="F201" i="4"/>
  <c r="G201" i="4" s="1"/>
  <c r="C202" i="4" s="1"/>
  <c r="I353" i="4"/>
  <c r="A354" i="4"/>
  <c r="B353" i="4"/>
  <c r="H353" i="4" s="1"/>
  <c r="I352" i="4"/>
  <c r="H352" i="4"/>
  <c r="E202" i="4" l="1"/>
  <c r="D202" i="4"/>
  <c r="A355" i="4"/>
  <c r="B354" i="4"/>
  <c r="J202" i="4" l="1"/>
  <c r="K202" i="4" s="1"/>
  <c r="F202" i="4"/>
  <c r="G202" i="4" s="1"/>
  <c r="C203" i="4" s="1"/>
  <c r="A356" i="4"/>
  <c r="B355" i="4"/>
  <c r="H355" i="4" s="1"/>
  <c r="I355" i="4"/>
  <c r="I354" i="4"/>
  <c r="H354" i="4"/>
  <c r="E203" i="4" l="1"/>
  <c r="D203" i="4"/>
  <c r="A357" i="4"/>
  <c r="B356" i="4"/>
  <c r="F203" i="4" l="1"/>
  <c r="G203" i="4" s="1"/>
  <c r="C204" i="4" s="1"/>
  <c r="J203" i="4"/>
  <c r="K203" i="4" s="1"/>
  <c r="I357" i="4"/>
  <c r="B357" i="4"/>
  <c r="H357" i="4"/>
  <c r="A358" i="4"/>
  <c r="I356" i="4"/>
  <c r="H356" i="4"/>
  <c r="E204" i="4" l="1"/>
  <c r="D204" i="4"/>
  <c r="A359" i="4"/>
  <c r="B358" i="4"/>
  <c r="I358" i="4" s="1"/>
  <c r="H358" i="4"/>
  <c r="F204" i="4" l="1"/>
  <c r="G204" i="4" s="1"/>
  <c r="C205" i="4" s="1"/>
  <c r="J204" i="4"/>
  <c r="K204" i="4" s="1"/>
  <c r="B359" i="4"/>
  <c r="A360" i="4"/>
  <c r="D205" i="4" l="1"/>
  <c r="E205" i="4"/>
  <c r="B360" i="4"/>
  <c r="H360" i="4" s="1"/>
  <c r="I360" i="4"/>
  <c r="A361" i="4"/>
  <c r="I359" i="4"/>
  <c r="H359" i="4"/>
  <c r="J205" i="4" l="1"/>
  <c r="K205" i="4" s="1"/>
  <c r="F205" i="4"/>
  <c r="G205" i="4" s="1"/>
  <c r="C206" i="4" s="1"/>
  <c r="B361" i="4"/>
  <c r="I361" i="4" s="1"/>
  <c r="H361" i="4"/>
  <c r="A362" i="4"/>
  <c r="E206" i="4" l="1"/>
  <c r="D206" i="4"/>
  <c r="A363" i="4"/>
  <c r="B362" i="4"/>
  <c r="J206" i="4" l="1"/>
  <c r="K206" i="4" s="1"/>
  <c r="F206" i="4"/>
  <c r="G206" i="4" s="1"/>
  <c r="C207" i="4" s="1"/>
  <c r="B363" i="4"/>
  <c r="I363" i="4" s="1"/>
  <c r="H363" i="4"/>
  <c r="A364" i="4"/>
  <c r="H362" i="4"/>
  <c r="I362" i="4"/>
  <c r="E207" i="4" l="1"/>
  <c r="D207" i="4"/>
  <c r="B364" i="4"/>
  <c r="H364" i="4"/>
  <c r="I364" i="4"/>
  <c r="A365" i="4"/>
  <c r="F207" i="4" l="1"/>
  <c r="G207" i="4" s="1"/>
  <c r="C208" i="4" s="1"/>
  <c r="J207" i="4"/>
  <c r="K207" i="4" s="1"/>
  <c r="B365" i="4"/>
  <c r="H365" i="4"/>
  <c r="I365" i="4"/>
  <c r="A366" i="4"/>
  <c r="D208" i="4" l="1"/>
  <c r="E208" i="4"/>
  <c r="B366" i="4"/>
  <c r="H366" i="4"/>
  <c r="I366" i="4"/>
  <c r="A367" i="4"/>
  <c r="F208" i="4" l="1"/>
  <c r="G208" i="4" s="1"/>
  <c r="C209" i="4" s="1"/>
  <c r="J208" i="4"/>
  <c r="K208" i="4" s="1"/>
  <c r="B367" i="4"/>
  <c r="H367" i="4"/>
  <c r="I367" i="4"/>
  <c r="A368" i="4"/>
  <c r="E209" i="4" l="1"/>
  <c r="D209" i="4"/>
  <c r="B368" i="4"/>
  <c r="H368" i="4"/>
  <c r="I368" i="4"/>
  <c r="A369" i="4"/>
  <c r="F209" i="4" l="1"/>
  <c r="G209" i="4" s="1"/>
  <c r="C210" i="4" s="1"/>
  <c r="J209" i="4"/>
  <c r="K209" i="4" s="1"/>
  <c r="B369" i="4"/>
  <c r="H369" i="4"/>
  <c r="I369" i="4"/>
  <c r="A370" i="4"/>
  <c r="D210" i="4" l="1"/>
  <c r="E210" i="4"/>
  <c r="B370" i="4"/>
  <c r="I370" i="4" s="1"/>
  <c r="H370" i="4"/>
  <c r="A371" i="4"/>
  <c r="F210" i="4" l="1"/>
  <c r="G210" i="4" s="1"/>
  <c r="C211" i="4" s="1"/>
  <c r="J210" i="4"/>
  <c r="K210" i="4" s="1"/>
  <c r="B371" i="4"/>
  <c r="H371" i="4"/>
  <c r="I371" i="4"/>
  <c r="A372" i="4"/>
  <c r="D211" i="4" l="1"/>
  <c r="E211" i="4"/>
  <c r="B372" i="4"/>
  <c r="H372" i="4"/>
  <c r="I372" i="4"/>
  <c r="A373" i="4"/>
  <c r="F211" i="4" l="1"/>
  <c r="G211" i="4" s="1"/>
  <c r="C212" i="4" s="1"/>
  <c r="J211" i="4"/>
  <c r="K211" i="4" s="1"/>
  <c r="B373" i="4"/>
  <c r="A374" i="4"/>
  <c r="E212" i="4" l="1"/>
  <c r="D212" i="4"/>
  <c r="B374" i="4"/>
  <c r="H374" i="4"/>
  <c r="I374" i="4"/>
  <c r="A375" i="4"/>
  <c r="H373" i="4"/>
  <c r="I373" i="4"/>
  <c r="F212" i="4" l="1"/>
  <c r="G212" i="4" s="1"/>
  <c r="C213" i="4" s="1"/>
  <c r="J212" i="4"/>
  <c r="K212" i="4" s="1"/>
  <c r="B375" i="4"/>
  <c r="A376" i="4"/>
  <c r="E213" i="4" l="1"/>
  <c r="D213" i="4"/>
  <c r="B376" i="4"/>
  <c r="H376" i="4" s="1"/>
  <c r="I376" i="4"/>
  <c r="A377" i="4"/>
  <c r="H375" i="4"/>
  <c r="I375" i="4"/>
  <c r="F213" i="4" l="1"/>
  <c r="G213" i="4" s="1"/>
  <c r="C214" i="4" s="1"/>
  <c r="J213" i="4"/>
  <c r="K213" i="4" s="1"/>
  <c r="B377" i="4"/>
  <c r="H377" i="4"/>
  <c r="I377" i="4"/>
  <c r="A378" i="4"/>
  <c r="D214" i="4" l="1"/>
  <c r="E214" i="4"/>
  <c r="B378" i="4"/>
  <c r="A379" i="4"/>
  <c r="F214" i="4" l="1"/>
  <c r="G214" i="4" s="1"/>
  <c r="C215" i="4" s="1"/>
  <c r="J214" i="4"/>
  <c r="K214" i="4" s="1"/>
  <c r="B379" i="4"/>
  <c r="H379" i="4"/>
  <c r="I379" i="4"/>
  <c r="A380" i="4"/>
  <c r="I378" i="4"/>
  <c r="H378" i="4"/>
  <c r="E215" i="4" l="1"/>
  <c r="D215" i="4"/>
  <c r="B380" i="4"/>
  <c r="A381" i="4"/>
  <c r="J215" i="4" l="1"/>
  <c r="K215" i="4" s="1"/>
  <c r="F215" i="4"/>
  <c r="G215" i="4" s="1"/>
  <c r="C216" i="4" s="1"/>
  <c r="B381" i="4"/>
  <c r="H381" i="4"/>
  <c r="I381" i="4"/>
  <c r="A382" i="4"/>
  <c r="H380" i="4"/>
  <c r="I380" i="4"/>
  <c r="D216" i="4" l="1"/>
  <c r="E216" i="4"/>
  <c r="B382" i="4"/>
  <c r="H382" i="4"/>
  <c r="I382" i="4"/>
  <c r="A383" i="4"/>
  <c r="J216" i="4" l="1"/>
  <c r="K216" i="4" s="1"/>
  <c r="F216" i="4"/>
  <c r="G216" i="4" s="1"/>
  <c r="C217" i="4" s="1"/>
  <c r="B383" i="4"/>
  <c r="A384" i="4"/>
  <c r="D217" i="4" l="1"/>
  <c r="E217" i="4"/>
  <c r="B384" i="4"/>
  <c r="H384" i="4"/>
  <c r="I384" i="4"/>
  <c r="A385" i="4"/>
  <c r="H383" i="4"/>
  <c r="I383" i="4"/>
  <c r="F217" i="4" l="1"/>
  <c r="G217" i="4" s="1"/>
  <c r="C218" i="4" s="1"/>
  <c r="J217" i="4"/>
  <c r="K217" i="4" s="1"/>
  <c r="B385" i="4"/>
  <c r="A386" i="4"/>
  <c r="E218" i="4" l="1"/>
  <c r="D218" i="4"/>
  <c r="B386" i="4"/>
  <c r="A387" i="4"/>
  <c r="H385" i="4"/>
  <c r="I385" i="4"/>
  <c r="F218" i="4" l="1"/>
  <c r="G218" i="4" s="1"/>
  <c r="C219" i="4" s="1"/>
  <c r="J218" i="4"/>
  <c r="K218" i="4" s="1"/>
  <c r="B387" i="4"/>
  <c r="H387" i="4"/>
  <c r="I387" i="4"/>
  <c r="A388" i="4"/>
  <c r="I386" i="4"/>
  <c r="H386" i="4"/>
  <c r="D219" i="4" l="1"/>
  <c r="E219" i="4"/>
  <c r="B388" i="4"/>
  <c r="H388" i="4"/>
  <c r="I388" i="4"/>
  <c r="A389" i="4"/>
  <c r="F219" i="4" l="1"/>
  <c r="G219" i="4" s="1"/>
  <c r="C220" i="4" s="1"/>
  <c r="J219" i="4"/>
  <c r="K219" i="4" s="1"/>
  <c r="B389" i="4"/>
  <c r="A390" i="4"/>
  <c r="E220" i="4" l="1"/>
  <c r="D220" i="4"/>
  <c r="B390" i="4"/>
  <c r="H390" i="4"/>
  <c r="I390" i="4"/>
  <c r="A391" i="4"/>
  <c r="H389" i="4"/>
  <c r="I389" i="4"/>
  <c r="F220" i="4" l="1"/>
  <c r="G220" i="4" s="1"/>
  <c r="C221" i="4" s="1"/>
  <c r="J220" i="4"/>
  <c r="K220" i="4" s="1"/>
  <c r="B391" i="4"/>
  <c r="A392" i="4"/>
  <c r="E221" i="4" l="1"/>
  <c r="D221" i="4"/>
  <c r="B392" i="4"/>
  <c r="H392" i="4"/>
  <c r="I392" i="4"/>
  <c r="A393" i="4"/>
  <c r="H391" i="4"/>
  <c r="I391" i="4"/>
  <c r="F221" i="4" l="1"/>
  <c r="G221" i="4" s="1"/>
  <c r="C222" i="4" s="1"/>
  <c r="J221" i="4"/>
  <c r="K221" i="4" s="1"/>
  <c r="B393" i="4"/>
  <c r="H393" i="4"/>
  <c r="I393" i="4"/>
  <c r="A394" i="4"/>
  <c r="E222" i="4" l="1"/>
  <c r="D222" i="4"/>
  <c r="B394" i="4"/>
  <c r="H394" i="4"/>
  <c r="I394" i="4"/>
  <c r="A395" i="4"/>
  <c r="F222" i="4" l="1"/>
  <c r="G222" i="4" s="1"/>
  <c r="C223" i="4" s="1"/>
  <c r="J222" i="4"/>
  <c r="K222" i="4" s="1"/>
  <c r="B395" i="4"/>
  <c r="H395" i="4"/>
  <c r="I395" i="4"/>
  <c r="A396" i="4"/>
  <c r="E223" i="4" l="1"/>
  <c r="D223" i="4"/>
  <c r="B396" i="4"/>
  <c r="H396" i="4"/>
  <c r="I396" i="4"/>
  <c r="A397" i="4"/>
  <c r="F223" i="4" l="1"/>
  <c r="G223" i="4" s="1"/>
  <c r="C224" i="4" s="1"/>
  <c r="J223" i="4"/>
  <c r="K223" i="4" s="1"/>
  <c r="B397" i="4"/>
  <c r="H397" i="4"/>
  <c r="I397" i="4"/>
  <c r="A398" i="4"/>
  <c r="D224" i="4" l="1"/>
  <c r="E224" i="4"/>
  <c r="B398" i="4"/>
  <c r="H398" i="4"/>
  <c r="I398" i="4"/>
  <c r="A399" i="4"/>
  <c r="J224" i="4" l="1"/>
  <c r="K224" i="4" s="1"/>
  <c r="F224" i="4"/>
  <c r="G224" i="4" s="1"/>
  <c r="C225" i="4" s="1"/>
  <c r="B399" i="4"/>
  <c r="H399" i="4"/>
  <c r="I399" i="4"/>
  <c r="A400" i="4"/>
  <c r="D225" i="4" l="1"/>
  <c r="E225" i="4"/>
  <c r="B400" i="4"/>
  <c r="H400" i="4"/>
  <c r="I400" i="4"/>
  <c r="A401" i="4"/>
  <c r="F225" i="4" l="1"/>
  <c r="G225" i="4" s="1"/>
  <c r="C226" i="4" s="1"/>
  <c r="J225" i="4"/>
  <c r="K225" i="4" s="1"/>
  <c r="B401" i="4"/>
  <c r="H401" i="4"/>
  <c r="I401" i="4"/>
  <c r="E226" i="4" l="1"/>
  <c r="D226" i="4"/>
  <c r="F226" i="4" l="1"/>
  <c r="G226" i="4" s="1"/>
  <c r="C227" i="4" s="1"/>
  <c r="J226" i="4"/>
  <c r="K226" i="4" s="1"/>
  <c r="D227" i="4" l="1"/>
  <c r="E227" i="4"/>
  <c r="F227" i="4" l="1"/>
  <c r="G227" i="4" s="1"/>
  <c r="C228" i="4" s="1"/>
  <c r="J227" i="4"/>
  <c r="K227" i="4" s="1"/>
  <c r="D228" i="4" l="1"/>
  <c r="E228" i="4"/>
  <c r="J228" i="4" l="1"/>
  <c r="K228" i="4" s="1"/>
  <c r="F228" i="4"/>
  <c r="G228" i="4" s="1"/>
  <c r="C229" i="4" s="1"/>
  <c r="E229" i="4" l="1"/>
  <c r="D229" i="4"/>
  <c r="J229" i="4" l="1"/>
  <c r="K229" i="4" s="1"/>
  <c r="F229" i="4"/>
  <c r="G229" i="4" s="1"/>
  <c r="C230" i="4" s="1"/>
  <c r="D230" i="4" l="1"/>
  <c r="E230" i="4"/>
  <c r="F230" i="4" l="1"/>
  <c r="G230" i="4" s="1"/>
  <c r="C231" i="4" s="1"/>
  <c r="J230" i="4"/>
  <c r="K230" i="4" s="1"/>
  <c r="E231" i="4" l="1"/>
  <c r="D231" i="4"/>
  <c r="F231" i="4" l="1"/>
  <c r="G231" i="4" s="1"/>
  <c r="C232" i="4" s="1"/>
  <c r="J231" i="4"/>
  <c r="K231" i="4" s="1"/>
  <c r="D232" i="4" l="1"/>
  <c r="E232" i="4"/>
  <c r="F232" i="4" l="1"/>
  <c r="G232" i="4" s="1"/>
  <c r="C233" i="4" s="1"/>
  <c r="J232" i="4"/>
  <c r="K232" i="4" s="1"/>
  <c r="E233" i="4" l="1"/>
  <c r="D233" i="4"/>
  <c r="F233" i="4" l="1"/>
  <c r="G233" i="4" s="1"/>
  <c r="C234" i="4" s="1"/>
  <c r="J233" i="4"/>
  <c r="K233" i="4" s="1"/>
  <c r="E234" i="4" l="1"/>
  <c r="D234" i="4"/>
  <c r="F234" i="4" l="1"/>
  <c r="G234" i="4" s="1"/>
  <c r="C235" i="4" s="1"/>
  <c r="J234" i="4"/>
  <c r="K234" i="4" s="1"/>
  <c r="E235" i="4" l="1"/>
  <c r="D235" i="4"/>
  <c r="F235" i="4" l="1"/>
  <c r="G235" i="4" s="1"/>
  <c r="C236" i="4" s="1"/>
  <c r="J235" i="4"/>
  <c r="K235" i="4" s="1"/>
  <c r="E236" i="4" l="1"/>
  <c r="D236" i="4"/>
  <c r="F236" i="4" l="1"/>
  <c r="G236" i="4" s="1"/>
  <c r="C237" i="4" s="1"/>
  <c r="J236" i="4"/>
  <c r="K236" i="4" s="1"/>
  <c r="D237" i="4" l="1"/>
  <c r="E237" i="4"/>
  <c r="F237" i="4" l="1"/>
  <c r="G237" i="4" s="1"/>
  <c r="C238" i="4" s="1"/>
  <c r="J237" i="4"/>
  <c r="K237" i="4" s="1"/>
  <c r="E238" i="4" l="1"/>
  <c r="D238" i="4"/>
  <c r="F238" i="4" l="1"/>
  <c r="G238" i="4" s="1"/>
  <c r="C239" i="4" s="1"/>
  <c r="J238" i="4"/>
  <c r="K238" i="4" s="1"/>
  <c r="E239" i="4" l="1"/>
  <c r="D239" i="4"/>
  <c r="F239" i="4" l="1"/>
  <c r="G239" i="4" s="1"/>
  <c r="C240" i="4" s="1"/>
  <c r="J239" i="4"/>
  <c r="K239" i="4" s="1"/>
  <c r="E240" i="4" l="1"/>
  <c r="D240" i="4"/>
  <c r="F240" i="4" l="1"/>
  <c r="G240" i="4" s="1"/>
  <c r="C241" i="4" s="1"/>
  <c r="J240" i="4"/>
  <c r="K240" i="4" s="1"/>
  <c r="D241" i="4" l="1"/>
  <c r="E241" i="4"/>
  <c r="J241" i="4" l="1"/>
  <c r="K241" i="4" s="1"/>
  <c r="F241" i="4"/>
  <c r="G241" i="4" s="1"/>
  <c r="C242" i="4" s="1"/>
  <c r="D242" i="4" l="1"/>
  <c r="E242" i="4"/>
  <c r="F242" i="4" l="1"/>
  <c r="G242" i="4" s="1"/>
  <c r="C243" i="4" s="1"/>
  <c r="J242" i="4"/>
  <c r="K242" i="4" s="1"/>
  <c r="E243" i="4" l="1"/>
  <c r="D243" i="4"/>
  <c r="J243" i="4" l="1"/>
  <c r="K243" i="4" s="1"/>
  <c r="F243" i="4"/>
  <c r="G243" i="4" s="1"/>
  <c r="C244" i="4" s="1"/>
  <c r="E244" i="4" l="1"/>
  <c r="D244" i="4"/>
  <c r="J244" i="4" l="1"/>
  <c r="K244" i="4" s="1"/>
  <c r="F244" i="4"/>
  <c r="G244" i="4" s="1"/>
  <c r="C245" i="4" s="1"/>
  <c r="E245" i="4" l="1"/>
  <c r="D245" i="4"/>
  <c r="F245" i="4" l="1"/>
  <c r="G245" i="4" s="1"/>
  <c r="C246" i="4" s="1"/>
  <c r="J245" i="4"/>
  <c r="K245" i="4" s="1"/>
  <c r="D246" i="4" l="1"/>
  <c r="E246" i="4"/>
  <c r="J246" i="4" l="1"/>
  <c r="K246" i="4" s="1"/>
  <c r="F246" i="4"/>
  <c r="G246" i="4" s="1"/>
  <c r="C247" i="4" s="1"/>
  <c r="E247" i="4" l="1"/>
  <c r="D247" i="4"/>
  <c r="F247" i="4" l="1"/>
  <c r="G247" i="4" s="1"/>
  <c r="C248" i="4" s="1"/>
  <c r="J247" i="4"/>
  <c r="K247" i="4" s="1"/>
  <c r="E248" i="4" l="1"/>
  <c r="D248" i="4"/>
  <c r="F248" i="4" l="1"/>
  <c r="G248" i="4" s="1"/>
  <c r="C249" i="4" s="1"/>
  <c r="J248" i="4"/>
  <c r="K248" i="4" s="1"/>
  <c r="E249" i="4" l="1"/>
  <c r="D249" i="4"/>
  <c r="F249" i="4" l="1"/>
  <c r="G249" i="4" s="1"/>
  <c r="C250" i="4" s="1"/>
  <c r="J249" i="4"/>
  <c r="K249" i="4" s="1"/>
  <c r="D250" i="4" l="1"/>
  <c r="E250" i="4"/>
  <c r="F250" i="4" l="1"/>
  <c r="G250" i="4" s="1"/>
  <c r="C251" i="4" s="1"/>
  <c r="J250" i="4"/>
  <c r="K250" i="4" s="1"/>
  <c r="E251" i="4" l="1"/>
  <c r="D251" i="4"/>
  <c r="F251" i="4" l="1"/>
  <c r="G251" i="4" s="1"/>
  <c r="C252" i="4" s="1"/>
  <c r="J251" i="4"/>
  <c r="K251" i="4" s="1"/>
  <c r="E252" i="4" l="1"/>
  <c r="D252" i="4"/>
  <c r="F252" i="4" l="1"/>
  <c r="G252" i="4" s="1"/>
  <c r="C253" i="4" s="1"/>
  <c r="J252" i="4"/>
  <c r="K252" i="4" s="1"/>
  <c r="D253" i="4" l="1"/>
  <c r="E253" i="4"/>
  <c r="F253" i="4" l="1"/>
  <c r="G253" i="4" s="1"/>
  <c r="C254" i="4" s="1"/>
  <c r="J253" i="4"/>
  <c r="K253" i="4" s="1"/>
  <c r="D254" i="4" l="1"/>
  <c r="E254" i="4"/>
  <c r="F254" i="4" l="1"/>
  <c r="G254" i="4" s="1"/>
  <c r="C255" i="4" s="1"/>
  <c r="J254" i="4"/>
  <c r="K254" i="4" s="1"/>
  <c r="E255" i="4" l="1"/>
  <c r="D255" i="4"/>
  <c r="F255" i="4" l="1"/>
  <c r="G255" i="4" s="1"/>
  <c r="C256" i="4" s="1"/>
  <c r="J255" i="4"/>
  <c r="K255" i="4" s="1"/>
  <c r="D256" i="4" l="1"/>
  <c r="E256" i="4"/>
  <c r="J256" i="4" l="1"/>
  <c r="K256" i="4" s="1"/>
  <c r="F256" i="4"/>
  <c r="G256" i="4" s="1"/>
  <c r="C257" i="4" s="1"/>
  <c r="E257" i="4" l="1"/>
  <c r="D257" i="4"/>
  <c r="F257" i="4" l="1"/>
  <c r="G257" i="4" s="1"/>
  <c r="C258" i="4" s="1"/>
  <c r="J257" i="4"/>
  <c r="K257" i="4" s="1"/>
  <c r="E258" i="4" l="1"/>
  <c r="D258" i="4"/>
  <c r="F258" i="4" l="1"/>
  <c r="G258" i="4" s="1"/>
  <c r="C259" i="4" s="1"/>
  <c r="J258" i="4"/>
  <c r="K258" i="4" s="1"/>
  <c r="E259" i="4" l="1"/>
  <c r="D259" i="4"/>
  <c r="J259" i="4" l="1"/>
  <c r="K259" i="4" s="1"/>
  <c r="F259" i="4"/>
  <c r="G259" i="4" s="1"/>
  <c r="C260" i="4" s="1"/>
  <c r="E260" i="4" l="1"/>
  <c r="D260" i="4"/>
  <c r="F260" i="4" l="1"/>
  <c r="G260" i="4" s="1"/>
  <c r="C261" i="4" s="1"/>
  <c r="J260" i="4"/>
  <c r="K260" i="4" s="1"/>
  <c r="E261" i="4" l="1"/>
  <c r="D261" i="4"/>
  <c r="J261" i="4" l="1"/>
  <c r="K261" i="4" s="1"/>
  <c r="F261" i="4"/>
  <c r="G261" i="4" s="1"/>
  <c r="C262" i="4" s="1"/>
  <c r="E262" i="4" l="1"/>
  <c r="D262" i="4"/>
  <c r="J262" i="4" l="1"/>
  <c r="K262" i="4" s="1"/>
  <c r="F262" i="4"/>
  <c r="G262" i="4" s="1"/>
  <c r="C263" i="4" s="1"/>
  <c r="E263" i="4" l="1"/>
  <c r="D263" i="4"/>
  <c r="J263" i="4" l="1"/>
  <c r="K263" i="4" s="1"/>
  <c r="F263" i="4"/>
  <c r="G263" i="4" s="1"/>
  <c r="C264" i="4" s="1"/>
  <c r="D264" i="4" l="1"/>
  <c r="E264" i="4"/>
  <c r="J264" i="4" l="1"/>
  <c r="K264" i="4" s="1"/>
  <c r="F264" i="4"/>
  <c r="G264" i="4" s="1"/>
  <c r="C265" i="4" s="1"/>
  <c r="D265" i="4" l="1"/>
  <c r="E265" i="4"/>
  <c r="F265" i="4" l="1"/>
  <c r="G265" i="4" s="1"/>
  <c r="C266" i="4" s="1"/>
  <c r="J265" i="4"/>
  <c r="K265" i="4" s="1"/>
  <c r="D266" i="4" l="1"/>
  <c r="E266" i="4"/>
  <c r="F266" i="4" l="1"/>
  <c r="G266" i="4" s="1"/>
  <c r="C267" i="4" s="1"/>
  <c r="J266" i="4"/>
  <c r="K266" i="4" s="1"/>
  <c r="D267" i="4" l="1"/>
  <c r="E267" i="4"/>
  <c r="F267" i="4" l="1"/>
  <c r="G267" i="4" s="1"/>
  <c r="C268" i="4" s="1"/>
  <c r="J267" i="4"/>
  <c r="K267" i="4" s="1"/>
  <c r="E268" i="4" l="1"/>
  <c r="D268" i="4"/>
  <c r="F268" i="4" l="1"/>
  <c r="G268" i="4" s="1"/>
  <c r="C269" i="4" s="1"/>
  <c r="J268" i="4"/>
  <c r="K268" i="4" s="1"/>
  <c r="E269" i="4" l="1"/>
  <c r="D269" i="4"/>
  <c r="F269" i="4" l="1"/>
  <c r="G269" i="4" s="1"/>
  <c r="C270" i="4" s="1"/>
  <c r="J269" i="4"/>
  <c r="K269" i="4" s="1"/>
  <c r="E270" i="4" l="1"/>
  <c r="D270" i="4"/>
  <c r="F270" i="4" l="1"/>
  <c r="G270" i="4" s="1"/>
  <c r="C271" i="4" s="1"/>
  <c r="J270" i="4"/>
  <c r="K270" i="4" s="1"/>
  <c r="D271" i="4" l="1"/>
  <c r="E271" i="4"/>
  <c r="J271" i="4" l="1"/>
  <c r="K271" i="4" s="1"/>
  <c r="F271" i="4"/>
  <c r="G271" i="4" s="1"/>
  <c r="C272" i="4" s="1"/>
  <c r="E272" i="4" l="1"/>
  <c r="D272" i="4"/>
  <c r="F272" i="4" l="1"/>
  <c r="G272" i="4" s="1"/>
  <c r="C273" i="4" s="1"/>
  <c r="J272" i="4"/>
  <c r="K272" i="4" s="1"/>
  <c r="D273" i="4" l="1"/>
  <c r="E273" i="4"/>
  <c r="J273" i="4" l="1"/>
  <c r="K273" i="4" s="1"/>
  <c r="F273" i="4"/>
  <c r="G273" i="4" s="1"/>
  <c r="C274" i="4" s="1"/>
  <c r="D274" i="4" l="1"/>
  <c r="E274" i="4"/>
  <c r="J274" i="4" l="1"/>
  <c r="K274" i="4" s="1"/>
  <c r="F274" i="4"/>
  <c r="G274" i="4" s="1"/>
  <c r="C275" i="4" s="1"/>
  <c r="E275" i="4" l="1"/>
  <c r="D275" i="4"/>
  <c r="F275" i="4" l="1"/>
  <c r="G275" i="4" s="1"/>
  <c r="C276" i="4" s="1"/>
  <c r="J275" i="4"/>
  <c r="K275" i="4" s="1"/>
  <c r="E276" i="4" l="1"/>
  <c r="D276" i="4"/>
  <c r="F276" i="4" l="1"/>
  <c r="G276" i="4" s="1"/>
  <c r="C277" i="4" s="1"/>
  <c r="J276" i="4"/>
  <c r="K276" i="4" s="1"/>
  <c r="E277" i="4" l="1"/>
  <c r="D277" i="4"/>
  <c r="J277" i="4" s="1"/>
  <c r="K277" i="4" s="1"/>
  <c r="F277" i="4" l="1"/>
  <c r="G277" i="4" s="1"/>
  <c r="C278" i="4" s="1"/>
  <c r="D278" i="4" l="1"/>
  <c r="E278" i="4"/>
  <c r="F278" i="4" l="1"/>
  <c r="G278" i="4" s="1"/>
  <c r="C279" i="4" s="1"/>
  <c r="J278" i="4"/>
  <c r="K278" i="4" s="1"/>
  <c r="D279" i="4" l="1"/>
  <c r="E279" i="4"/>
  <c r="J279" i="4" l="1"/>
  <c r="K279" i="4" s="1"/>
  <c r="F279" i="4"/>
  <c r="G279" i="4" s="1"/>
  <c r="C280" i="4" s="1"/>
  <c r="D280" i="4" l="1"/>
  <c r="E280" i="4"/>
  <c r="F280" i="4" l="1"/>
  <c r="G280" i="4" s="1"/>
  <c r="C281" i="4" s="1"/>
  <c r="J280" i="4"/>
  <c r="K280" i="4" s="1"/>
  <c r="D281" i="4" l="1"/>
  <c r="E281" i="4"/>
  <c r="J281" i="4" l="1"/>
  <c r="K281" i="4" s="1"/>
  <c r="F281" i="4"/>
  <c r="G281" i="4" s="1"/>
  <c r="C282" i="4" s="1"/>
  <c r="E282" i="4" l="1"/>
  <c r="D282" i="4"/>
  <c r="F282" i="4" l="1"/>
  <c r="G282" i="4" s="1"/>
  <c r="C283" i="4" s="1"/>
  <c r="J282" i="4"/>
  <c r="K282" i="4" s="1"/>
  <c r="E283" i="4" l="1"/>
  <c r="D283" i="4"/>
  <c r="F283" i="4" l="1"/>
  <c r="G283" i="4" s="1"/>
  <c r="C284" i="4" s="1"/>
  <c r="J283" i="4"/>
  <c r="K283" i="4" s="1"/>
  <c r="E284" i="4" l="1"/>
  <c r="D284" i="4"/>
  <c r="F284" i="4" l="1"/>
  <c r="G284" i="4" s="1"/>
  <c r="C285" i="4" s="1"/>
  <c r="J284" i="4"/>
  <c r="K284" i="4" s="1"/>
  <c r="D285" i="4" l="1"/>
  <c r="E285" i="4"/>
  <c r="F285" i="4" l="1"/>
  <c r="G285" i="4" s="1"/>
  <c r="C286" i="4" s="1"/>
  <c r="J285" i="4"/>
  <c r="K285" i="4" s="1"/>
  <c r="E286" i="4" l="1"/>
  <c r="D286" i="4"/>
  <c r="J286" i="4" l="1"/>
  <c r="K286" i="4" s="1"/>
  <c r="F286" i="4"/>
  <c r="G286" i="4" s="1"/>
  <c r="C287" i="4" s="1"/>
  <c r="D287" i="4" l="1"/>
  <c r="E287" i="4"/>
  <c r="F287" i="4" l="1"/>
  <c r="G287" i="4" s="1"/>
  <c r="C288" i="4" s="1"/>
  <c r="J287" i="4"/>
  <c r="K287" i="4" s="1"/>
  <c r="E288" i="4" l="1"/>
  <c r="D288" i="4"/>
  <c r="F288" i="4" l="1"/>
  <c r="G288" i="4" s="1"/>
  <c r="C289" i="4" s="1"/>
  <c r="J288" i="4"/>
  <c r="K288" i="4" s="1"/>
  <c r="E289" i="4" l="1"/>
  <c r="D289" i="4"/>
  <c r="F289" i="4" l="1"/>
  <c r="G289" i="4" s="1"/>
  <c r="C290" i="4" s="1"/>
  <c r="J289" i="4"/>
  <c r="K289" i="4" s="1"/>
  <c r="E290" i="4" l="1"/>
  <c r="D290" i="4"/>
  <c r="J290" i="4" l="1"/>
  <c r="K290" i="4" s="1"/>
  <c r="F290" i="4"/>
  <c r="G290" i="4" s="1"/>
  <c r="C291" i="4" s="1"/>
  <c r="D291" i="4" l="1"/>
  <c r="E291" i="4"/>
  <c r="F291" i="4" l="1"/>
  <c r="G291" i="4" s="1"/>
  <c r="C292" i="4" s="1"/>
  <c r="J291" i="4"/>
  <c r="K291" i="4" s="1"/>
  <c r="D292" i="4" l="1"/>
  <c r="E292" i="4"/>
  <c r="F292" i="4" l="1"/>
  <c r="G292" i="4" s="1"/>
  <c r="C293" i="4" s="1"/>
  <c r="J292" i="4"/>
  <c r="K292" i="4" s="1"/>
  <c r="E293" i="4" l="1"/>
  <c r="D293" i="4"/>
  <c r="F293" i="4" l="1"/>
  <c r="G293" i="4" s="1"/>
  <c r="C294" i="4" s="1"/>
  <c r="J293" i="4"/>
  <c r="K293" i="4" s="1"/>
  <c r="D294" i="4" l="1"/>
  <c r="E294" i="4"/>
  <c r="F294" i="4" l="1"/>
  <c r="G294" i="4" s="1"/>
  <c r="C295" i="4" s="1"/>
  <c r="J294" i="4"/>
  <c r="K294" i="4" s="1"/>
  <c r="E295" i="4" l="1"/>
  <c r="D295" i="4"/>
  <c r="F295" i="4" l="1"/>
  <c r="G295" i="4" s="1"/>
  <c r="C296" i="4" s="1"/>
  <c r="J295" i="4"/>
  <c r="K295" i="4" s="1"/>
  <c r="E296" i="4" l="1"/>
  <c r="D296" i="4"/>
  <c r="F296" i="4" l="1"/>
  <c r="G296" i="4" s="1"/>
  <c r="C297" i="4" s="1"/>
  <c r="J296" i="4"/>
  <c r="K296" i="4" s="1"/>
  <c r="D297" i="4" l="1"/>
  <c r="E297" i="4"/>
  <c r="J297" i="4" l="1"/>
  <c r="K297" i="4" s="1"/>
  <c r="F297" i="4"/>
  <c r="G297" i="4" s="1"/>
  <c r="C298" i="4" s="1"/>
  <c r="E298" i="4" l="1"/>
  <c r="D298" i="4"/>
  <c r="F298" i="4" l="1"/>
  <c r="G298" i="4" s="1"/>
  <c r="C299" i="4" s="1"/>
  <c r="J298" i="4"/>
  <c r="K298" i="4" s="1"/>
  <c r="E299" i="4" l="1"/>
  <c r="D299" i="4"/>
  <c r="F299" i="4" l="1"/>
  <c r="G299" i="4" s="1"/>
  <c r="C300" i="4" s="1"/>
  <c r="J299" i="4"/>
  <c r="K299" i="4" s="1"/>
  <c r="D300" i="4" l="1"/>
  <c r="E300" i="4"/>
  <c r="J300" i="4" l="1"/>
  <c r="K300" i="4" s="1"/>
  <c r="F300" i="4"/>
  <c r="G300" i="4" s="1"/>
  <c r="C301" i="4" s="1"/>
  <c r="E301" i="4" l="1"/>
  <c r="D301" i="4"/>
  <c r="J301" i="4" l="1"/>
  <c r="K301" i="4" s="1"/>
  <c r="F301" i="4"/>
  <c r="G301" i="4" s="1"/>
  <c r="C302" i="4" s="1"/>
  <c r="D302" i="4" l="1"/>
  <c r="E302" i="4"/>
  <c r="J302" i="4" l="1"/>
  <c r="K302" i="4" s="1"/>
  <c r="F302" i="4"/>
  <c r="G302" i="4" s="1"/>
  <c r="C303" i="4" s="1"/>
  <c r="D303" i="4" l="1"/>
  <c r="E303" i="4"/>
  <c r="F303" i="4" l="1"/>
  <c r="G303" i="4" s="1"/>
  <c r="C304" i="4" s="1"/>
  <c r="J303" i="4"/>
  <c r="K303" i="4" s="1"/>
  <c r="D304" i="4" l="1"/>
  <c r="E304" i="4"/>
  <c r="F304" i="4" l="1"/>
  <c r="G304" i="4" s="1"/>
  <c r="C305" i="4" s="1"/>
  <c r="J304" i="4"/>
  <c r="K304" i="4" s="1"/>
  <c r="D305" i="4" l="1"/>
  <c r="E305" i="4"/>
  <c r="F305" i="4" l="1"/>
  <c r="G305" i="4" s="1"/>
  <c r="C306" i="4" s="1"/>
  <c r="J305" i="4"/>
  <c r="K305" i="4" s="1"/>
  <c r="D306" i="4" l="1"/>
  <c r="E306" i="4"/>
  <c r="J306" i="4" l="1"/>
  <c r="K306" i="4" s="1"/>
  <c r="F306" i="4"/>
  <c r="G306" i="4" s="1"/>
  <c r="C307" i="4" s="1"/>
  <c r="D307" i="4" l="1"/>
  <c r="E307" i="4"/>
  <c r="F307" i="4" l="1"/>
  <c r="G307" i="4" s="1"/>
  <c r="C308" i="4" s="1"/>
  <c r="J307" i="4"/>
  <c r="K307" i="4" s="1"/>
  <c r="D308" i="4" l="1"/>
  <c r="E308" i="4"/>
  <c r="J308" i="4" l="1"/>
  <c r="K308" i="4" s="1"/>
  <c r="F308" i="4"/>
  <c r="G308" i="4" s="1"/>
  <c r="C309" i="4" s="1"/>
  <c r="D309" i="4" l="1"/>
  <c r="E309" i="4"/>
  <c r="F309" i="4" l="1"/>
  <c r="G309" i="4" s="1"/>
  <c r="C310" i="4" s="1"/>
  <c r="J309" i="4"/>
  <c r="K309" i="4" s="1"/>
  <c r="D310" i="4" l="1"/>
  <c r="E310" i="4"/>
  <c r="F310" i="4" l="1"/>
  <c r="G310" i="4" s="1"/>
  <c r="C311" i="4" s="1"/>
  <c r="J310" i="4"/>
  <c r="K310" i="4" s="1"/>
  <c r="E311" i="4" l="1"/>
  <c r="D311" i="4"/>
  <c r="F311" i="4" l="1"/>
  <c r="G311" i="4" s="1"/>
  <c r="C312" i="4" s="1"/>
  <c r="J311" i="4"/>
  <c r="K311" i="4" s="1"/>
  <c r="D312" i="4" l="1"/>
  <c r="E312" i="4"/>
  <c r="J312" i="4" l="1"/>
  <c r="K312" i="4" s="1"/>
  <c r="F312" i="4"/>
  <c r="G312" i="4" s="1"/>
  <c r="C313" i="4" s="1"/>
  <c r="D313" i="4" l="1"/>
  <c r="E313" i="4"/>
  <c r="J313" i="4" l="1"/>
  <c r="K313" i="4" s="1"/>
  <c r="F313" i="4"/>
  <c r="G313" i="4" s="1"/>
  <c r="C314" i="4" s="1"/>
  <c r="D314" i="4" l="1"/>
  <c r="E314" i="4"/>
  <c r="F314" i="4" l="1"/>
  <c r="G314" i="4" s="1"/>
  <c r="C315" i="4" s="1"/>
  <c r="J314" i="4"/>
  <c r="K314" i="4" s="1"/>
  <c r="D315" i="4" l="1"/>
  <c r="E315" i="4"/>
  <c r="J315" i="4" l="1"/>
  <c r="K315" i="4" s="1"/>
  <c r="F315" i="4"/>
  <c r="G315" i="4" s="1"/>
  <c r="C316" i="4" s="1"/>
  <c r="E316" i="4" l="1"/>
  <c r="D316" i="4"/>
  <c r="F316" i="4" l="1"/>
  <c r="G316" i="4" s="1"/>
  <c r="C317" i="4" s="1"/>
  <c r="J316" i="4"/>
  <c r="K316" i="4" s="1"/>
  <c r="E317" i="4" l="1"/>
  <c r="D317" i="4"/>
  <c r="F317" i="4" l="1"/>
  <c r="G317" i="4" s="1"/>
  <c r="C318" i="4" s="1"/>
  <c r="J317" i="4"/>
  <c r="K317" i="4" s="1"/>
  <c r="E318" i="4" l="1"/>
  <c r="D318" i="4"/>
  <c r="F318" i="4" l="1"/>
  <c r="G318" i="4" s="1"/>
  <c r="C319" i="4" s="1"/>
  <c r="J318" i="4"/>
  <c r="K318" i="4" s="1"/>
  <c r="E319" i="4" l="1"/>
  <c r="D319" i="4"/>
  <c r="F319" i="4" l="1"/>
  <c r="G319" i="4" s="1"/>
  <c r="C320" i="4" s="1"/>
  <c r="J319" i="4"/>
  <c r="K319" i="4" s="1"/>
  <c r="E320" i="4" l="1"/>
  <c r="D320" i="4"/>
  <c r="F320" i="4" l="1"/>
  <c r="G320" i="4" s="1"/>
  <c r="C321" i="4" s="1"/>
  <c r="J320" i="4"/>
  <c r="K320" i="4" s="1"/>
  <c r="E321" i="4" l="1"/>
  <c r="D321" i="4"/>
  <c r="F321" i="4" l="1"/>
  <c r="G321" i="4" s="1"/>
  <c r="C322" i="4" s="1"/>
  <c r="J321" i="4"/>
  <c r="K321" i="4" s="1"/>
  <c r="D322" i="4" l="1"/>
  <c r="E322" i="4"/>
  <c r="F322" i="4" l="1"/>
  <c r="G322" i="4" s="1"/>
  <c r="C323" i="4" s="1"/>
  <c r="J322" i="4"/>
  <c r="K322" i="4" s="1"/>
  <c r="D323" i="4" l="1"/>
  <c r="E323" i="4"/>
  <c r="F323" i="4" l="1"/>
  <c r="G323" i="4" s="1"/>
  <c r="C324" i="4" s="1"/>
  <c r="J323" i="4"/>
  <c r="K323" i="4" s="1"/>
  <c r="D324" i="4" l="1"/>
  <c r="E324" i="4"/>
  <c r="J324" i="4" l="1"/>
  <c r="K324" i="4" s="1"/>
  <c r="F324" i="4"/>
  <c r="G324" i="4" s="1"/>
  <c r="C325" i="4" s="1"/>
  <c r="E325" i="4" l="1"/>
  <c r="D325" i="4"/>
  <c r="F325" i="4" l="1"/>
  <c r="G325" i="4" s="1"/>
  <c r="C326" i="4" s="1"/>
  <c r="J325" i="4"/>
  <c r="K325" i="4" s="1"/>
  <c r="D326" i="4" l="1"/>
  <c r="E326" i="4"/>
  <c r="J326" i="4" l="1"/>
  <c r="K326" i="4" s="1"/>
  <c r="F326" i="4"/>
  <c r="G326" i="4" s="1"/>
  <c r="C327" i="4" s="1"/>
  <c r="E327" i="4" l="1"/>
  <c r="D327" i="4"/>
  <c r="J327" i="4" s="1"/>
  <c r="K327" i="4" s="1"/>
  <c r="F327" i="4" l="1"/>
  <c r="G327" i="4" s="1"/>
  <c r="C328" i="4" s="1"/>
  <c r="E328" i="4" l="1"/>
  <c r="D328" i="4"/>
  <c r="J328" i="4" l="1"/>
  <c r="K328" i="4" s="1"/>
  <c r="F328" i="4"/>
  <c r="G328" i="4" s="1"/>
  <c r="C329" i="4" s="1"/>
  <c r="D329" i="4" l="1"/>
  <c r="E329" i="4"/>
  <c r="F329" i="4" l="1"/>
  <c r="G329" i="4" s="1"/>
  <c r="C330" i="4" s="1"/>
  <c r="J329" i="4"/>
  <c r="K329" i="4" s="1"/>
  <c r="E330" i="4" l="1"/>
  <c r="D330" i="4"/>
  <c r="F330" i="4" l="1"/>
  <c r="G330" i="4" s="1"/>
  <c r="C331" i="4" s="1"/>
  <c r="J330" i="4"/>
  <c r="K330" i="4" s="1"/>
  <c r="D331" i="4" l="1"/>
  <c r="E331" i="4"/>
  <c r="F331" i="4" l="1"/>
  <c r="G331" i="4" s="1"/>
  <c r="C332" i="4" s="1"/>
  <c r="J331" i="4"/>
  <c r="K331" i="4" s="1"/>
  <c r="D332" i="4" l="1"/>
  <c r="E332" i="4"/>
  <c r="F332" i="4" l="1"/>
  <c r="G332" i="4" s="1"/>
  <c r="C333" i="4" s="1"/>
  <c r="J332" i="4"/>
  <c r="K332" i="4" s="1"/>
  <c r="E333" i="4" l="1"/>
  <c r="D333" i="4"/>
  <c r="J333" i="4" l="1"/>
  <c r="K333" i="4" s="1"/>
  <c r="F333" i="4"/>
  <c r="G333" i="4" s="1"/>
  <c r="C334" i="4" s="1"/>
  <c r="E334" i="4" l="1"/>
  <c r="D334" i="4"/>
  <c r="J334" i="4" l="1"/>
  <c r="K334" i="4" s="1"/>
  <c r="F334" i="4"/>
  <c r="G334" i="4" s="1"/>
  <c r="C335" i="4" s="1"/>
  <c r="E335" i="4" l="1"/>
  <c r="D335" i="4"/>
  <c r="J335" i="4" l="1"/>
  <c r="K335" i="4" s="1"/>
  <c r="F335" i="4"/>
  <c r="G335" i="4" s="1"/>
  <c r="C336" i="4" s="1"/>
  <c r="E336" i="4" l="1"/>
  <c r="D336" i="4"/>
  <c r="F336" i="4" l="1"/>
  <c r="G336" i="4" s="1"/>
  <c r="C337" i="4" s="1"/>
  <c r="J336" i="4"/>
  <c r="K336" i="4" s="1"/>
  <c r="D337" i="4" l="1"/>
  <c r="E337" i="4"/>
  <c r="F337" i="4" l="1"/>
  <c r="G337" i="4" s="1"/>
  <c r="C338" i="4" s="1"/>
  <c r="J337" i="4"/>
  <c r="K337" i="4" s="1"/>
  <c r="E338" i="4" l="1"/>
  <c r="D338" i="4"/>
  <c r="F338" i="4" l="1"/>
  <c r="G338" i="4" s="1"/>
  <c r="C339" i="4" s="1"/>
  <c r="J338" i="4"/>
  <c r="K338" i="4" s="1"/>
  <c r="D339" i="4" l="1"/>
  <c r="E339" i="4"/>
  <c r="F339" i="4" l="1"/>
  <c r="G339" i="4" s="1"/>
  <c r="C340" i="4" s="1"/>
  <c r="J339" i="4"/>
  <c r="K339" i="4" s="1"/>
  <c r="E340" i="4" l="1"/>
  <c r="D340" i="4"/>
  <c r="F340" i="4" l="1"/>
  <c r="G340" i="4" s="1"/>
  <c r="C341" i="4" s="1"/>
  <c r="J340" i="4"/>
  <c r="K340" i="4" s="1"/>
  <c r="D341" i="4" l="1"/>
  <c r="E341" i="4"/>
  <c r="J341" i="4" l="1"/>
  <c r="K341" i="4" s="1"/>
  <c r="F341" i="4"/>
  <c r="G341" i="4" s="1"/>
  <c r="C342" i="4" s="1"/>
  <c r="D342" i="4" l="1"/>
  <c r="E342" i="4"/>
  <c r="F342" i="4" l="1"/>
  <c r="G342" i="4" s="1"/>
  <c r="C343" i="4" s="1"/>
  <c r="J342" i="4"/>
  <c r="K342" i="4" s="1"/>
  <c r="E343" i="4" l="1"/>
  <c r="D343" i="4"/>
  <c r="F343" i="4" l="1"/>
  <c r="G343" i="4" s="1"/>
  <c r="C344" i="4" s="1"/>
  <c r="J343" i="4"/>
  <c r="K343" i="4" s="1"/>
  <c r="D344" i="4" l="1"/>
  <c r="E344" i="4"/>
  <c r="F344" i="4" l="1"/>
  <c r="G344" i="4" s="1"/>
  <c r="C345" i="4" s="1"/>
  <c r="J344" i="4"/>
  <c r="K344" i="4" s="1"/>
  <c r="D345" i="4" l="1"/>
  <c r="E345" i="4"/>
  <c r="J345" i="4" l="1"/>
  <c r="K345" i="4" s="1"/>
  <c r="F345" i="4"/>
  <c r="G345" i="4" s="1"/>
  <c r="C346" i="4" s="1"/>
  <c r="D346" i="4" l="1"/>
  <c r="E346" i="4"/>
  <c r="F346" i="4" l="1"/>
  <c r="G346" i="4" s="1"/>
  <c r="C347" i="4" s="1"/>
  <c r="J346" i="4"/>
  <c r="K346" i="4" s="1"/>
  <c r="D347" i="4" l="1"/>
  <c r="E347" i="4"/>
  <c r="F347" i="4" l="1"/>
  <c r="G347" i="4" s="1"/>
  <c r="C348" i="4" s="1"/>
  <c r="J347" i="4"/>
  <c r="K347" i="4" s="1"/>
  <c r="D348" i="4" l="1"/>
  <c r="E348" i="4"/>
  <c r="F348" i="4" l="1"/>
  <c r="G348" i="4" s="1"/>
  <c r="C349" i="4" s="1"/>
  <c r="J348" i="4"/>
  <c r="K348" i="4" s="1"/>
  <c r="D349" i="4" l="1"/>
  <c r="E349" i="4"/>
  <c r="J349" i="4" l="1"/>
  <c r="K349" i="4" s="1"/>
  <c r="F349" i="4"/>
  <c r="G349" i="4" s="1"/>
  <c r="C350" i="4" s="1"/>
  <c r="D350" i="4" l="1"/>
  <c r="E350" i="4"/>
  <c r="J350" i="4" l="1"/>
  <c r="K350" i="4" s="1"/>
  <c r="F350" i="4"/>
  <c r="G350" i="4" s="1"/>
  <c r="C351" i="4" s="1"/>
  <c r="D351" i="4" l="1"/>
  <c r="E351" i="4"/>
  <c r="J351" i="4" l="1"/>
  <c r="K351" i="4" s="1"/>
  <c r="F351" i="4"/>
  <c r="G351" i="4" s="1"/>
  <c r="C352" i="4" s="1"/>
  <c r="E352" i="4" l="1"/>
  <c r="D352" i="4"/>
  <c r="J352" i="4" l="1"/>
  <c r="K352" i="4" s="1"/>
  <c r="F352" i="4"/>
  <c r="G352" i="4" s="1"/>
  <c r="C353" i="4" s="1"/>
  <c r="E353" i="4" l="1"/>
  <c r="D353" i="4"/>
  <c r="F353" i="4" l="1"/>
  <c r="G353" i="4" s="1"/>
  <c r="C354" i="4" s="1"/>
  <c r="J353" i="4"/>
  <c r="K353" i="4" s="1"/>
  <c r="D354" i="4" l="1"/>
  <c r="E354" i="4"/>
  <c r="J354" i="4" l="1"/>
  <c r="K354" i="4" s="1"/>
  <c r="F354" i="4"/>
  <c r="G354" i="4" s="1"/>
  <c r="C355" i="4" s="1"/>
  <c r="E355" i="4" l="1"/>
  <c r="D355" i="4"/>
  <c r="F355" i="4" l="1"/>
  <c r="G355" i="4" s="1"/>
  <c r="C356" i="4" s="1"/>
  <c r="J355" i="4"/>
  <c r="K355" i="4" s="1"/>
  <c r="D356" i="4" l="1"/>
  <c r="E356" i="4"/>
  <c r="J356" i="4" l="1"/>
  <c r="K356" i="4" s="1"/>
  <c r="F356" i="4"/>
  <c r="G356" i="4" s="1"/>
  <c r="C357" i="4" s="1"/>
  <c r="E357" i="4" l="1"/>
  <c r="D357" i="4"/>
  <c r="F357" i="4" l="1"/>
  <c r="G357" i="4" s="1"/>
  <c r="C358" i="4" s="1"/>
  <c r="J357" i="4"/>
  <c r="K357" i="4" s="1"/>
  <c r="E358" i="4" l="1"/>
  <c r="D358" i="4"/>
  <c r="F358" i="4" l="1"/>
  <c r="G358" i="4" s="1"/>
  <c r="C359" i="4" s="1"/>
  <c r="J358" i="4"/>
  <c r="K358" i="4" s="1"/>
  <c r="E359" i="4" l="1"/>
  <c r="D359" i="4"/>
  <c r="F359" i="4" l="1"/>
  <c r="G359" i="4" s="1"/>
  <c r="C360" i="4" s="1"/>
  <c r="J359" i="4"/>
  <c r="K359" i="4" s="1"/>
  <c r="E360" i="4" l="1"/>
  <c r="D360" i="4"/>
  <c r="J360" i="4" l="1"/>
  <c r="K360" i="4" s="1"/>
  <c r="F360" i="4"/>
  <c r="G360" i="4" s="1"/>
  <c r="C361" i="4" s="1"/>
  <c r="D361" i="4" l="1"/>
  <c r="E361" i="4"/>
  <c r="F361" i="4" l="1"/>
  <c r="G361" i="4" s="1"/>
  <c r="C362" i="4" s="1"/>
  <c r="J361" i="4"/>
  <c r="K361" i="4" s="1"/>
  <c r="D362" i="4" l="1"/>
  <c r="E362" i="4"/>
  <c r="F362" i="4" l="1"/>
  <c r="G362" i="4" s="1"/>
  <c r="C363" i="4" s="1"/>
  <c r="J362" i="4"/>
  <c r="K362" i="4" s="1"/>
  <c r="D363" i="4" l="1"/>
  <c r="E363" i="4"/>
  <c r="F363" i="4" l="1"/>
  <c r="G363" i="4" s="1"/>
  <c r="C364" i="4" s="1"/>
  <c r="J363" i="4"/>
  <c r="K363" i="4" s="1"/>
  <c r="E364" i="4" l="1"/>
  <c r="D364" i="4"/>
  <c r="F364" i="4" l="1"/>
  <c r="G364" i="4" s="1"/>
  <c r="C365" i="4" s="1"/>
  <c r="J364" i="4"/>
  <c r="K364" i="4" s="1"/>
  <c r="E365" i="4" l="1"/>
  <c r="D365" i="4"/>
  <c r="F365" i="4" l="1"/>
  <c r="G365" i="4" s="1"/>
  <c r="C366" i="4" s="1"/>
  <c r="J365" i="4"/>
  <c r="K365" i="4" s="1"/>
  <c r="E366" i="4" l="1"/>
  <c r="D366" i="4"/>
  <c r="J366" i="4" l="1"/>
  <c r="K366" i="4" s="1"/>
  <c r="F366" i="4"/>
  <c r="G366" i="4" s="1"/>
  <c r="C367" i="4" s="1"/>
  <c r="E367" i="4" l="1"/>
  <c r="D367" i="4"/>
  <c r="J367" i="4" l="1"/>
  <c r="K367" i="4" s="1"/>
  <c r="F367" i="4"/>
  <c r="G367" i="4" s="1"/>
  <c r="C368" i="4" s="1"/>
  <c r="D368" i="4" l="1"/>
  <c r="E368" i="4"/>
  <c r="F368" i="4" l="1"/>
  <c r="G368" i="4" s="1"/>
  <c r="C369" i="4" s="1"/>
  <c r="J368" i="4"/>
  <c r="K368" i="4" s="1"/>
  <c r="E369" i="4" l="1"/>
  <c r="D369" i="4"/>
  <c r="F369" i="4" l="1"/>
  <c r="G369" i="4" s="1"/>
  <c r="C370" i="4" s="1"/>
  <c r="J369" i="4"/>
  <c r="K369" i="4" s="1"/>
  <c r="D370" i="4" l="1"/>
  <c r="E370" i="4"/>
  <c r="F370" i="4" l="1"/>
  <c r="G370" i="4" s="1"/>
  <c r="C371" i="4" s="1"/>
  <c r="J370" i="4"/>
  <c r="K370" i="4" s="1"/>
  <c r="E371" i="4" l="1"/>
  <c r="D371" i="4"/>
  <c r="F371" i="4" l="1"/>
  <c r="G371" i="4" s="1"/>
  <c r="C372" i="4" s="1"/>
  <c r="J371" i="4"/>
  <c r="K371" i="4" s="1"/>
  <c r="D372" i="4" l="1"/>
  <c r="E372" i="4"/>
  <c r="F372" i="4" l="1"/>
  <c r="G372" i="4" s="1"/>
  <c r="C373" i="4" s="1"/>
  <c r="J372" i="4"/>
  <c r="K372" i="4" s="1"/>
  <c r="D373" i="4" l="1"/>
  <c r="E373" i="4"/>
  <c r="F373" i="4" l="1"/>
  <c r="G373" i="4" s="1"/>
  <c r="C374" i="4" s="1"/>
  <c r="J373" i="4"/>
  <c r="K373" i="4" s="1"/>
  <c r="D374" i="4" l="1"/>
  <c r="E374" i="4"/>
  <c r="J374" i="4" l="1"/>
  <c r="K374" i="4" s="1"/>
  <c r="F374" i="4"/>
  <c r="G374" i="4" s="1"/>
  <c r="C375" i="4" s="1"/>
  <c r="E375" i="4" l="1"/>
  <c r="D375" i="4"/>
  <c r="J375" i="4" l="1"/>
  <c r="K375" i="4" s="1"/>
  <c r="F375" i="4"/>
  <c r="G375" i="4" s="1"/>
  <c r="C376" i="4" s="1"/>
  <c r="E376" i="4" l="1"/>
  <c r="D376" i="4"/>
  <c r="F376" i="4" l="1"/>
  <c r="G376" i="4" s="1"/>
  <c r="C377" i="4" s="1"/>
  <c r="J376" i="4"/>
  <c r="K376" i="4" s="1"/>
  <c r="E377" i="4" l="1"/>
  <c r="D377" i="4"/>
  <c r="J377" i="4" l="1"/>
  <c r="K377" i="4" s="1"/>
  <c r="F377" i="4"/>
  <c r="G377" i="4" s="1"/>
  <c r="C378" i="4" s="1"/>
  <c r="D378" i="4" l="1"/>
  <c r="E378" i="4"/>
  <c r="J378" i="4" l="1"/>
  <c r="K378" i="4" s="1"/>
  <c r="F378" i="4"/>
  <c r="G378" i="4" s="1"/>
  <c r="C379" i="4" s="1"/>
  <c r="D379" i="4" l="1"/>
  <c r="E379" i="4"/>
  <c r="F379" i="4" l="1"/>
  <c r="G379" i="4" s="1"/>
  <c r="C380" i="4" s="1"/>
  <c r="J379" i="4"/>
  <c r="K379" i="4" s="1"/>
  <c r="D380" i="4" l="1"/>
  <c r="E380" i="4"/>
  <c r="F380" i="4" l="1"/>
  <c r="G380" i="4" s="1"/>
  <c r="C381" i="4" s="1"/>
  <c r="J380" i="4"/>
  <c r="K380" i="4" s="1"/>
  <c r="E381" i="4" l="1"/>
  <c r="D381" i="4"/>
  <c r="F381" i="4" l="1"/>
  <c r="G381" i="4" s="1"/>
  <c r="C382" i="4" s="1"/>
  <c r="J381" i="4"/>
  <c r="K381" i="4" s="1"/>
  <c r="E382" i="4" l="1"/>
  <c r="D382" i="4"/>
  <c r="F382" i="4" l="1"/>
  <c r="G382" i="4" s="1"/>
  <c r="C383" i="4" s="1"/>
  <c r="J382" i="4"/>
  <c r="K382" i="4" s="1"/>
  <c r="D383" i="4" l="1"/>
  <c r="E383" i="4"/>
  <c r="J383" i="4" l="1"/>
  <c r="K383" i="4" s="1"/>
  <c r="F383" i="4"/>
  <c r="G383" i="4" s="1"/>
  <c r="C384" i="4" s="1"/>
  <c r="D384" i="4" l="1"/>
  <c r="E384" i="4"/>
  <c r="F384" i="4" l="1"/>
  <c r="G384" i="4" s="1"/>
  <c r="C385" i="4" s="1"/>
  <c r="J384" i="4"/>
  <c r="K384" i="4" s="1"/>
  <c r="E385" i="4" l="1"/>
  <c r="D385" i="4"/>
  <c r="F385" i="4" l="1"/>
  <c r="G385" i="4" s="1"/>
  <c r="C386" i="4" s="1"/>
  <c r="J385" i="4"/>
  <c r="K385" i="4" s="1"/>
  <c r="E386" i="4" l="1"/>
  <c r="D386" i="4"/>
  <c r="J386" i="4" l="1"/>
  <c r="K386" i="4" s="1"/>
  <c r="F386" i="4"/>
  <c r="G386" i="4" s="1"/>
  <c r="C387" i="4" s="1"/>
  <c r="D387" i="4" l="1"/>
  <c r="E387" i="4"/>
  <c r="F387" i="4" l="1"/>
  <c r="G387" i="4" s="1"/>
  <c r="C388" i="4" s="1"/>
  <c r="J387" i="4"/>
  <c r="K387" i="4" s="1"/>
  <c r="E388" i="4" l="1"/>
  <c r="D388" i="4"/>
  <c r="F388" i="4" l="1"/>
  <c r="G388" i="4" s="1"/>
  <c r="C389" i="4" s="1"/>
  <c r="J388" i="4"/>
  <c r="K388" i="4" s="1"/>
  <c r="E389" i="4" l="1"/>
  <c r="D389" i="4"/>
  <c r="J389" i="4" l="1"/>
  <c r="K389" i="4" s="1"/>
  <c r="F389" i="4"/>
  <c r="G389" i="4" s="1"/>
  <c r="C390" i="4" s="1"/>
  <c r="D390" i="4" l="1"/>
  <c r="E390" i="4"/>
  <c r="J390" i="4" l="1"/>
  <c r="K390" i="4" s="1"/>
  <c r="F390" i="4"/>
  <c r="G390" i="4" s="1"/>
  <c r="C391" i="4" s="1"/>
  <c r="E391" i="4" l="1"/>
  <c r="D391" i="4"/>
  <c r="J391" i="4" l="1"/>
  <c r="K391" i="4" s="1"/>
  <c r="F391" i="4"/>
  <c r="G391" i="4" s="1"/>
  <c r="C392" i="4" s="1"/>
  <c r="D392" i="4" l="1"/>
  <c r="E392" i="4"/>
  <c r="J392" i="4" l="1"/>
  <c r="K392" i="4" s="1"/>
  <c r="F392" i="4"/>
  <c r="G392" i="4" s="1"/>
  <c r="C393" i="4" s="1"/>
  <c r="E393" i="4" l="1"/>
  <c r="D393" i="4"/>
  <c r="F393" i="4" l="1"/>
  <c r="G393" i="4" s="1"/>
  <c r="C394" i="4" s="1"/>
  <c r="J393" i="4"/>
  <c r="K393" i="4" s="1"/>
  <c r="E394" i="4" l="1"/>
  <c r="D394" i="4"/>
  <c r="J394" i="4" l="1"/>
  <c r="K394" i="4" s="1"/>
  <c r="F394" i="4"/>
  <c r="G394" i="4" s="1"/>
  <c r="C395" i="4" s="1"/>
  <c r="E395" i="4" l="1"/>
  <c r="D395" i="4"/>
  <c r="J395" i="4" l="1"/>
  <c r="K395" i="4" s="1"/>
  <c r="F395" i="4"/>
  <c r="G395" i="4" s="1"/>
  <c r="C396" i="4" s="1"/>
  <c r="D396" i="4" l="1"/>
  <c r="E396" i="4"/>
  <c r="F396" i="4" l="1"/>
  <c r="G396" i="4" s="1"/>
  <c r="C397" i="4" s="1"/>
  <c r="J396" i="4"/>
  <c r="K396" i="4" s="1"/>
  <c r="D397" i="4" l="1"/>
  <c r="E397" i="4"/>
  <c r="F397" i="4" l="1"/>
  <c r="G397" i="4" s="1"/>
  <c r="C398" i="4" s="1"/>
  <c r="J397" i="4"/>
  <c r="K397" i="4" s="1"/>
  <c r="D398" i="4" l="1"/>
  <c r="E398" i="4"/>
  <c r="J398" i="4" l="1"/>
  <c r="K398" i="4" s="1"/>
  <c r="F398" i="4"/>
  <c r="G398" i="4" s="1"/>
  <c r="C399" i="4" s="1"/>
  <c r="D399" i="4" l="1"/>
  <c r="E399" i="4"/>
  <c r="F399" i="4" l="1"/>
  <c r="G399" i="4" s="1"/>
  <c r="C400" i="4" s="1"/>
  <c r="J399" i="4"/>
  <c r="K399" i="4" s="1"/>
  <c r="E400" i="4" l="1"/>
  <c r="D400" i="4"/>
  <c r="F400" i="4" l="1"/>
  <c r="G400" i="4" s="1"/>
  <c r="C401" i="4" s="1"/>
  <c r="J400" i="4"/>
  <c r="K400" i="4" s="1"/>
  <c r="D401" i="4" l="1"/>
  <c r="E401" i="4"/>
  <c r="F401" i="4" l="1"/>
  <c r="G401" i="4" s="1"/>
  <c r="J401" i="4"/>
  <c r="K40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mp993</author>
  </authors>
  <commentList>
    <comment ref="U21" authorId="0" shapeId="0" xr:uid="{C0FC74B9-3A07-40AF-8EAF-4E9DA370384A}">
      <text>
        <r>
          <rPr>
            <b/>
            <sz val="9"/>
            <color indexed="81"/>
            <rFont val="Tahoma"/>
            <charset val="177"/>
          </rPr>
          <t>mp993:</t>
        </r>
        <r>
          <rPr>
            <sz val="9"/>
            <color indexed="81"/>
            <rFont val="Tahoma"/>
            <charset val="177"/>
          </rPr>
          <t xml:space="preserve">
מס שבח 25% על הרווח הריאלי — חל רק על דירת השקעה. דירה יחידה פטורה ממס שבח (עד תקרת פטור). ממולגם אוטומטית לפי B13.</t>
        </r>
      </text>
    </comment>
  </commentList>
</comments>
</file>

<file path=xl/sharedStrings.xml><?xml version="1.0" encoding="utf-8"?>
<sst xmlns="http://schemas.openxmlformats.org/spreadsheetml/2006/main" count="277" uniqueCount="151">
  <si>
    <t>ערך</t>
  </si>
  <si>
    <t>₪</t>
  </si>
  <si>
    <t>% מימון (LTV)</t>
  </si>
  <si>
    <t>פרמטר</t>
  </si>
  <si>
    <t>שנים</t>
  </si>
  <si>
    <t>מסלול 1</t>
  </si>
  <si>
    <t>שיטת החזר</t>
  </si>
  <si>
    <t>שפיצר</t>
  </si>
  <si>
    <t>מסלול 2</t>
  </si>
  <si>
    <t>מסלול 3</t>
  </si>
  <si>
    <t>מסלול 4</t>
  </si>
  <si>
    <t>מסלול 5</t>
  </si>
  <si>
    <t>מסלול 6</t>
  </si>
  <si>
    <t>תקופת החזקה</t>
  </si>
  <si>
    <t>עלויות מכירה</t>
  </si>
  <si>
    <t>מס שבח</t>
  </si>
  <si>
    <t>דירה יחידה</t>
  </si>
  <si>
    <t>שכ"ד חודשי</t>
  </si>
  <si>
    <t>תזרים מצטבר</t>
  </si>
  <si>
    <t>בלוק 1 — רכישה והקמה</t>
  </si>
  <si>
    <t>בלוק 2 — מימון (6 מסלולים)</t>
  </si>
  <si>
    <t>בלוק 3 — אחזקה ותזרים</t>
  </si>
  <si>
    <t>בלוק 4 — מימוש ומיסוי</t>
  </si>
  <si>
    <t>שדה</t>
  </si>
  <si>
    <t>שיטת חישוב</t>
  </si>
  <si>
    <t>יח'</t>
  </si>
  <si>
    <t>— נתוני נכס נוכחיים —</t>
  </si>
  <si>
    <t>מ"ר בנוי נוכחי</t>
  </si>
  <si>
    <t>קלט</t>
  </si>
  <si>
    <t>מ"ר</t>
  </si>
  <si>
    <t>מ"ר מרפסת/חצר נוכחי</t>
  </si>
  <si>
    <t>מ"ר משוקלל (בנוי + 50% מרפסת)</t>
  </si>
  <si>
    <t>אוטומטי</t>
  </si>
  <si>
    <t>מחיר חוזה</t>
  </si>
  <si>
    <t>מחיר למ"ר בנוי</t>
  </si>
  <si>
    <t>₪/מ"ר</t>
  </si>
  <si>
    <t>מחיר למ"ר משוקלל</t>
  </si>
  <si>
    <t>— עלויות רכישה —</t>
  </si>
  <si>
    <t>סוג רכישה (דירה יחידה / השקעה)</t>
  </si>
  <si>
    <t>מס רכישה (אוטומטי, מדרגות ישראל 2025)</t>
  </si>
  <si>
    <t>תיווך רכישה (2% + מע"מ)</t>
  </si>
  <si>
    <t>עורך דין קונה (0.5% + מע"מ)</t>
  </si>
  <si>
    <t>שמאי</t>
  </si>
  <si>
    <t>בדק בית / מהנדס</t>
  </si>
  <si>
    <t>יועץ משכנתא</t>
  </si>
  <si>
    <t>אגרות רישום (טאבו)</t>
  </si>
  <si>
    <t>— שיפוץ וריהוט —</t>
  </si>
  <si>
    <t>שיפוץ וריהוט</t>
  </si>
  <si>
    <t>בצ"מ (10% מהשיפוץ)</t>
  </si>
  <si>
    <t>— סיכום הון עצמי ראשוני —</t>
  </si>
  <si>
    <t>סך עלויות רכישה (ללא מס)</t>
  </si>
  <si>
    <t>משכנתא כוללת (מבלוק 2)</t>
  </si>
  <si>
    <t>סך הון עצמי ראשוני</t>
  </si>
  <si>
    <t>— קלט מסלולים —</t>
  </si>
  <si>
    <t>סכום קרן (₪)</t>
  </si>
  <si>
    <t>ריבית שנתית</t>
  </si>
  <si>
    <t>תקופה (שנים)</t>
  </si>
  <si>
    <t>תשלום חודשי ראשון</t>
  </si>
  <si>
    <t>ריבית מצטברת (תק' החזקה)</t>
  </si>
  <si>
    <t>יתרת קרן ביציאה</t>
  </si>
  <si>
    <t>סה"כ משכנתא (החזר+ריבית)</t>
  </si>
  <si>
    <t>—— סיכום משכנתא כוללת ——</t>
  </si>
  <si>
    <t>סך תשלום חודשי (כל המסלולים)</t>
  </si>
  <si>
    <t>סך יתרת קרן ביציאה</t>
  </si>
  <si>
    <t>— הכנסות משכר —</t>
  </si>
  <si>
    <t>שכר דירה חודשי (₪)</t>
  </si>
  <si>
    <t>₪/חו'</t>
  </si>
  <si>
    <t>שכר שנתי</t>
  </si>
  <si>
    <t>₪/ש'</t>
  </si>
  <si>
    <t>שיעור שכר שנתי (תשואה גולמית)</t>
  </si>
  <si>
    <t>%</t>
  </si>
  <si>
    <t>עליית שכף שנתית</t>
  </si>
  <si>
    <t>אחוז סטיית (דירה ריקה)</t>
  </si>
  <si>
    <t>— הוצאות תפעול שנתיות —</t>
  </si>
  <si>
    <t>ארנונה (% משכר)</t>
  </si>
  <si>
    <t>ארנונה (₪/שנה)</t>
  </si>
  <si>
    <t>דמי בית וועד</t>
  </si>
  <si>
    <t>ביטוח מבנה</t>
  </si>
  <si>
    <t>תחזוקה שוטפת (₪/שנה)</t>
  </si>
  <si>
    <t>מס רכוש שנתי</t>
  </si>
  <si>
    <t>גביית שכר (% משכר)</t>
  </si>
  <si>
    <t>גביית שכר (₪/שנה)</t>
  </si>
  <si>
    <t>סך הוצאות שנתיות (ללא משכנתא)</t>
  </si>
  <si>
    <t>— NOI תזרים שנתי —</t>
  </si>
  <si>
    <t>NOI שנתי (לפני משכנתא)</t>
  </si>
  <si>
    <t>— מימוש הנכס —</t>
  </si>
  <si>
    <t>תקופת החזקה (שנים)</t>
  </si>
  <si>
    <t>ש'</t>
  </si>
  <si>
    <t>עליית שנתית מחיר הנכס</t>
  </si>
  <si>
    <t>מחיר מכירה (עתידי)</t>
  </si>
  <si>
    <t>— עלויות מכירה —</t>
  </si>
  <si>
    <t>תיווך מכירה (2% + מע"מ)</t>
  </si>
  <si>
    <t>עורך דין מכירה (0.5% + מע"מ)</t>
  </si>
  <si>
    <t>סך עלויות מכירה</t>
  </si>
  <si>
    <t>— מס שבח (ריווח הון) —</t>
  </si>
  <si>
    <t>שבח לפני מס</t>
  </si>
  <si>
    <t>שיעור מס שבח</t>
  </si>
  <si>
    <t>מס שבח לתשלום</t>
  </si>
  <si>
    <t>— התמורה נטו למשקיע —</t>
  </si>
  <si>
    <t>תמורה מהמכירה</t>
  </si>
  <si>
    <t>תמורה נטו למשקיע</t>
  </si>
  <si>
    <t>——— דשבורד KPI ———</t>
  </si>
  <si>
    <t>חודש</t>
  </si>
  <si>
    <t>שנה</t>
  </si>
  <si>
    <t>יתרת קרן התחלת חודש</t>
  </si>
  <si>
    <t>תשלום מלא</t>
  </si>
  <si>
    <t>מרכיב ריבית</t>
  </si>
  <si>
    <t>מרכיב קרן</t>
  </si>
  <si>
    <t>יתרת קרן בסוף חודש</t>
  </si>
  <si>
    <t>הוצ' שנתיות (ממוצע)</t>
  </si>
  <si>
    <t>תזרים חודשי נטו</t>
  </si>
  <si>
    <t>הון עצמי (מחיר נכס – סך משכנתא)</t>
  </si>
  <si>
    <t>מקרא:</t>
  </si>
  <si>
    <t>הערות:</t>
  </si>
  <si>
    <t>• שיטות החזר זמינות ב-G9:L9: שפיצר / קרן שווה / בלון מלא / בלון חלקי</t>
  </si>
  <si>
    <t>• מס רכישה מחושב אוטומטית לפי B13 (דירה יחידה / השקעה) ומדרגות ישראל 2025</t>
  </si>
  <si>
    <t>• ניתן להפעיל עד 6 מסלולי משכנתא במקביל בבלוק 2 (הזן סכום בשורה 6)</t>
  </si>
  <si>
    <t>• צהוב = הזן קלט לעריכה | לבן = תוצאה מחושבת אוטומטית | טורקיז = כותרת בלוקים</t>
  </si>
  <si>
    <t>— תזרים מזומנים שנתי לחישוב IRR —</t>
  </si>
  <si>
    <t>תזרים שנתי (₪)</t>
  </si>
  <si>
    <t>IRR אמיתי</t>
  </si>
  <si>
    <t>NPV @ 5%</t>
  </si>
  <si>
    <t>— הנחות מאקרו —</t>
  </si>
  <si>
    <t>אינפלציה שנתית</t>
  </si>
  <si>
    <t>שווי רכישה מקורי (חוזה)</t>
  </si>
  <si>
    <t>מקושר</t>
  </si>
  <si>
    <t>שווי רכישה מתואם לאינפלציה</t>
  </si>
  <si>
    <t>עלויות רכישה מוכרות (מס רכישה + עלויות נלוות)</t>
  </si>
  <si>
    <t>פירעון יתרת משכנתה</t>
  </si>
  <si>
    <t>מחיר קנייה</t>
  </si>
  <si>
    <t>מחיר מכירה</t>
  </si>
  <si>
    <t>סך כלל העלויות</t>
  </si>
  <si>
    <t>רווח נטו</t>
  </si>
  <si>
    <t>רווח נטו % כולל</t>
  </si>
  <si>
    <t>רווח נטו % שנתי</t>
  </si>
  <si>
    <t>(תשואה שנתית מנורמלת)</t>
  </si>
  <si>
    <t>(קנייה + עלויות רכישה + מכירה + תזרים שלילי מצטבר)</t>
  </si>
  <si>
    <t>סיכום השקעה</t>
  </si>
  <si>
    <t>סך תזרימים שוטפים (10 שנים)</t>
  </si>
  <si>
    <t>(שכ"ד פחות משכנתא+אחזקה)</t>
  </si>
  <si>
    <t>(רווח / סך העלויות)</t>
  </si>
  <si>
    <t>— חישוב מחיר עתידי לפי מ"ר —</t>
  </si>
  <si>
    <t>מחיר למ"ר היום (בנוי)</t>
  </si>
  <si>
    <t>עליית מחיר שנתית</t>
  </si>
  <si>
    <t>תקופת החזקה (מקושר)</t>
  </si>
  <si>
    <t>מחיר למ"ר עתידי</t>
  </si>
  <si>
    <t>מחיר מכירה עתידי (מחושב)</t>
  </si>
  <si>
    <t>%/שנה</t>
  </si>
  <si>
    <t>גודל חדש במכירה (מ"ר)</t>
  </si>
  <si>
    <t>מחיר ידני (אם נבחר)</t>
  </si>
  <si>
    <t>ידני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</si>
</sst>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6" formatCode="0.0%"/>
    <numFmt numFmtId="169" formatCode="\₪#,##0"/>
    <numFmt numFmtId="171" formatCode="0&quot; שנים&quot;"/>
    <numFmt numFmtId="174" formatCode="#,##0.0"/>
    <numFmt numFmtId="175" formatCode="\₪#,##0;[Red]\(\₪#,##0\);&quot;-&quot;"/>
    <numFmt numFmtId="177" formatCode="\₪#,##0;\(\₪#,##0\);\-"/>
    <numFmt numFmtId="178" formatCode="0.0%;\(0.0%\);\-"/>
    <numFmt numFmtId="179" formatCode="0.00%;\(0.00%\);\-"/>
    <numFmt numFmtId="185" formatCode="0.0&quot; מ&quot;&quot;ר&quot;"/>
  </numFmts>
  <fonts count="3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rgb="FFFFFFFF"/>
      <name val="Arial"/>
      <family val="2"/>
      <charset val="177"/>
      <scheme val="minor"/>
    </font>
    <font>
      <b/>
      <sz val="14"/>
      <color rgb="FFFFFFFF"/>
      <name val="Arial"/>
      <family val="2"/>
      <charset val="177"/>
      <scheme val="minor"/>
    </font>
    <font>
      <b/>
      <sz val="11"/>
      <color rgb="FFFFFFFF"/>
      <name val="Arial"/>
      <family val="2"/>
      <charset val="177"/>
      <scheme val="minor"/>
    </font>
    <font>
      <sz val="11"/>
      <color rgb="FF000000"/>
      <name val="Arial"/>
      <family val="2"/>
      <charset val="177"/>
      <scheme val="minor"/>
    </font>
    <font>
      <b/>
      <sz val="12"/>
      <color rgb="FFFFFFFF"/>
      <name val="Arial"/>
      <family val="2"/>
      <charset val="177"/>
      <scheme val="minor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b/>
      <sz val="13"/>
      <color rgb="FFFFFFFF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8"/>
      <color rgb="FFFFFFFF"/>
      <name val="Arial"/>
      <family val="2"/>
      <charset val="177"/>
      <scheme val="minor"/>
    </font>
    <font>
      <b/>
      <sz val="13"/>
      <color rgb="FF000000"/>
      <name val="Arial"/>
      <family val="2"/>
      <charset val="177"/>
      <scheme val="minor"/>
    </font>
    <font>
      <b/>
      <sz val="10"/>
      <color rgb="FFFFFFFF"/>
      <name val="Arial"/>
      <family val="2"/>
      <charset val="177"/>
      <scheme val="minor"/>
    </font>
    <font>
      <sz val="11"/>
      <color rgb="FF1F3864"/>
      <name val="Arial"/>
      <family val="2"/>
      <charset val="177"/>
      <scheme val="minor"/>
    </font>
    <font>
      <b/>
      <sz val="11"/>
      <color rgb="FF1F3864"/>
      <name val="Arial"/>
      <family val="2"/>
      <charset val="177"/>
      <scheme val="minor"/>
    </font>
    <font>
      <sz val="11"/>
      <color rgb="FF7F7F7F"/>
      <name val="Arial"/>
      <family val="2"/>
      <charset val="177"/>
      <scheme val="minor"/>
    </font>
    <font>
      <b/>
      <i/>
      <sz val="11"/>
      <color rgb="FF7F7F7F"/>
      <name val="Arial"/>
      <family val="2"/>
      <charset val="177"/>
      <scheme val="minor"/>
    </font>
    <font>
      <sz val="11"/>
      <color rgb="FFC00000"/>
      <name val="Arial"/>
      <family val="2"/>
      <charset val="177"/>
      <scheme val="minor"/>
    </font>
    <font>
      <b/>
      <sz val="11"/>
      <color rgb="FFC00000"/>
      <name val="Arial"/>
      <family val="2"/>
      <charset val="177"/>
      <scheme val="minor"/>
    </font>
    <font>
      <b/>
      <i/>
      <sz val="11"/>
      <color rgb="FF1F3864"/>
      <name val="Arial"/>
      <family val="2"/>
      <charset val="177"/>
      <scheme val="minor"/>
    </font>
    <font>
      <b/>
      <sz val="11"/>
      <color rgb="FF000000"/>
      <name val="Arial"/>
      <family val="2"/>
      <charset val="177"/>
      <scheme val="minor"/>
    </font>
    <font>
      <sz val="11"/>
      <color rgb="FF000000"/>
      <name val="Arial"/>
      <scheme val="minor"/>
    </font>
    <font>
      <sz val="11"/>
      <color rgb="FF1F3864"/>
      <name val="Arial"/>
      <scheme val="minor"/>
    </font>
    <font>
      <sz val="11"/>
      <color rgb="FF7F7F7F"/>
      <name val="Arial"/>
      <scheme val="minor"/>
    </font>
    <font>
      <sz val="9"/>
      <color rgb="FF7F7F7F"/>
      <name val="Arial"/>
      <family val="2"/>
      <charset val="177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i/>
      <sz val="11"/>
      <color rgb="FF7F7F7F"/>
      <name val="Arial"/>
      <scheme val="minor"/>
    </font>
    <font>
      <b/>
      <sz val="11"/>
      <color rgb="FF1F3864"/>
      <name val="Arial"/>
      <scheme val="minor"/>
    </font>
    <font>
      <b/>
      <sz val="12"/>
      <color theme="1"/>
      <name val="Arial"/>
      <scheme val="minor"/>
    </font>
    <font>
      <b/>
      <sz val="12"/>
      <color rgb="FF1B5E20"/>
      <name val="Arial"/>
      <scheme val="minor"/>
    </font>
    <font>
      <i/>
      <sz val="9"/>
      <color rgb="FF7F7F7F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D32"/>
        <bgColor indexed="64"/>
      </patternFill>
    </fill>
  </fills>
  <borders count="21">
    <border>
      <left/>
      <right/>
      <top/>
      <bottom/>
      <diagonal/>
    </border>
    <border>
      <left/>
      <right/>
      <top style="thick">
        <color rgb="FF1F3864"/>
      </top>
      <bottom/>
      <diagonal/>
    </border>
    <border>
      <left/>
      <right/>
      <top/>
      <bottom style="thick">
        <color rgb="FF1F3864"/>
      </bottom>
      <diagonal/>
    </border>
    <border>
      <left style="thick">
        <color rgb="FF1F3864"/>
      </left>
      <right/>
      <top style="thick">
        <color rgb="FF1F3864"/>
      </top>
      <bottom/>
      <diagonal/>
    </border>
    <border>
      <left style="thick">
        <color rgb="FF1F3864"/>
      </left>
      <right/>
      <top/>
      <bottom/>
      <diagonal/>
    </border>
    <border>
      <left style="thick">
        <color rgb="FF1F3864"/>
      </left>
      <right/>
      <top/>
      <bottom style="thick">
        <color rgb="FF1F3864"/>
      </bottom>
      <diagonal/>
    </border>
    <border>
      <left/>
      <right style="thick">
        <color rgb="FF1F3864"/>
      </right>
      <top style="thick">
        <color rgb="FF1F3864"/>
      </top>
      <bottom/>
      <diagonal/>
    </border>
    <border>
      <left/>
      <right style="thick">
        <color rgb="FF1F3864"/>
      </right>
      <top/>
      <bottom/>
      <diagonal/>
    </border>
    <border>
      <left/>
      <right style="thick">
        <color rgb="FF1F3864"/>
      </right>
      <top/>
      <bottom style="thick">
        <color rgb="FF1F3864"/>
      </bottom>
      <diagonal/>
    </border>
    <border>
      <left style="thick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thick">
        <color rgb="FF1F3864"/>
      </right>
      <top/>
      <bottom style="medium">
        <color rgb="FF1F3864"/>
      </bottom>
      <diagonal/>
    </border>
    <border>
      <left style="medium">
        <color rgb="FF1F3864"/>
      </left>
      <right style="thin">
        <color rgb="FFBDD7EE"/>
      </right>
      <top style="medium">
        <color rgb="FF1F3864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medium">
        <color rgb="FF1F3864"/>
      </top>
      <bottom style="thin">
        <color rgb="FFBDD7EE"/>
      </bottom>
      <diagonal/>
    </border>
    <border>
      <left style="thin">
        <color rgb="FFBDD7EE"/>
      </left>
      <right style="medium">
        <color rgb="FF1F3864"/>
      </right>
      <top style="medium">
        <color rgb="FF1F3864"/>
      </top>
      <bottom style="thin">
        <color rgb="FFBDD7EE"/>
      </bottom>
      <diagonal/>
    </border>
    <border>
      <left style="medium">
        <color rgb="FF1F3864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medium">
        <color rgb="FF1F3864"/>
      </right>
      <top style="thin">
        <color rgb="FFBDD7EE"/>
      </top>
      <bottom style="thin">
        <color rgb="FFBDD7EE"/>
      </bottom>
      <diagonal/>
    </border>
    <border>
      <left style="medium">
        <color rgb="FF1F3864"/>
      </left>
      <right style="thin">
        <color rgb="FFBDD7EE"/>
      </right>
      <top style="thin">
        <color rgb="FFBDD7EE"/>
      </top>
      <bottom style="medium">
        <color rgb="FF1F38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1F3864"/>
      </bottom>
      <diagonal/>
    </border>
    <border>
      <left style="thin">
        <color rgb="FFBDD7EE"/>
      </left>
      <right style="medium">
        <color rgb="FF1F3864"/>
      </right>
      <top style="thin">
        <color rgb="FFBDD7EE"/>
      </top>
      <bottom style="medium">
        <color rgb="FF1F3864"/>
      </bottom>
      <diagonal/>
    </border>
  </borders>
  <cellStyleXfs count="1">
    <xf numFmtId="0" fontId="0" fillId="0" borderId="0"/>
  </cellStyleXfs>
  <cellXfs count="106">
    <xf numFmtId="0" fontId="0" fillId="0" borderId="0" xfId="0"/>
    <xf numFmtId="175" fontId="1" fillId="4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5" fontId="14" fillId="0" borderId="0" xfId="0" applyNumberFormat="1" applyFont="1" applyAlignment="1" applyProtection="1">
      <alignment horizontal="center"/>
      <protection locked="0"/>
    </xf>
    <xf numFmtId="175" fontId="0" fillId="4" borderId="0" xfId="0" applyNumberFormat="1" applyFill="1" applyAlignment="1" applyProtection="1">
      <alignment horizontal="center"/>
      <protection locked="0"/>
    </xf>
    <xf numFmtId="10" fontId="0" fillId="4" borderId="0" xfId="0" applyNumberFormat="1" applyFill="1" applyAlignment="1" applyProtection="1">
      <alignment horizontal="center"/>
      <protection locked="0"/>
    </xf>
    <xf numFmtId="1" fontId="0" fillId="4" borderId="0" xfId="0" applyNumberFormat="1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10" fontId="14" fillId="0" borderId="0" xfId="0" applyNumberFormat="1" applyFont="1" applyAlignment="1" applyProtection="1">
      <alignment horizontal="center"/>
      <protection locked="0"/>
    </xf>
    <xf numFmtId="166" fontId="0" fillId="4" borderId="0" xfId="0" applyNumberFormat="1" applyFill="1" applyAlignment="1" applyProtection="1">
      <alignment horizontal="center"/>
      <protection locked="0"/>
    </xf>
    <xf numFmtId="0" fontId="0" fillId="7" borderId="0" xfId="0" applyFill="1" applyProtection="1">
      <protection locked="0"/>
    </xf>
    <xf numFmtId="175" fontId="15" fillId="7" borderId="0" xfId="0" applyNumberFormat="1" applyFont="1" applyFill="1" applyAlignment="1" applyProtection="1">
      <alignment horizontal="center"/>
      <protection locked="0"/>
    </xf>
    <xf numFmtId="1" fontId="1" fillId="4" borderId="0" xfId="0" applyNumberFormat="1" applyFont="1" applyFill="1" applyAlignment="1" applyProtection="1">
      <alignment horizontal="center"/>
      <protection locked="0"/>
    </xf>
    <xf numFmtId="175" fontId="15" fillId="0" borderId="0" xfId="0" applyNumberFormat="1" applyFont="1" applyAlignment="1" applyProtection="1">
      <alignment horizontal="center"/>
      <protection locked="0"/>
    </xf>
    <xf numFmtId="166" fontId="21" fillId="4" borderId="0" xfId="0" applyNumberFormat="1" applyFont="1" applyFill="1" applyAlignment="1" applyProtection="1">
      <alignment horizontal="center"/>
      <protection locked="0"/>
    </xf>
    <xf numFmtId="175" fontId="18" fillId="0" borderId="0" xfId="0" applyNumberFormat="1" applyFont="1" applyAlignment="1" applyProtection="1">
      <alignment horizontal="center"/>
      <protection locked="0"/>
    </xf>
    <xf numFmtId="0" fontId="17" fillId="4" borderId="0" xfId="0" applyFont="1" applyFill="1" applyAlignment="1" applyProtection="1">
      <alignment horizontal="center"/>
      <protection locked="0"/>
    </xf>
    <xf numFmtId="0" fontId="11" fillId="6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2" fillId="3" borderId="0" xfId="0" applyFont="1" applyFill="1" applyAlignment="1" applyProtection="1">
      <alignment horizontal="center" vertical="center"/>
      <protection locked="0"/>
    </xf>
    <xf numFmtId="0" fontId="13" fillId="6" borderId="0" xfId="0" applyFont="1" applyFill="1" applyAlignment="1" applyProtection="1">
      <alignment horizontal="center"/>
      <protection locked="0"/>
    </xf>
    <xf numFmtId="0" fontId="15" fillId="7" borderId="0" xfId="0" applyFont="1" applyFill="1" applyAlignment="1" applyProtection="1">
      <alignment horizontal="right"/>
      <protection locked="0"/>
    </xf>
    <xf numFmtId="0" fontId="10" fillId="0" borderId="0" xfId="0" applyFont="1" applyAlignment="1" applyProtection="1">
      <alignment horizontal="center"/>
      <protection locked="0"/>
    </xf>
    <xf numFmtId="3" fontId="0" fillId="4" borderId="0" xfId="0" applyNumberFormat="1" applyFill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174" fontId="14" fillId="0" borderId="0" xfId="0" applyNumberFormat="1" applyFont="1" applyAlignment="1" applyProtection="1">
      <alignment horizontal="center"/>
      <protection locked="0"/>
    </xf>
    <xf numFmtId="169" fontId="14" fillId="0" borderId="0" xfId="0" applyNumberFormat="1" applyFont="1" applyAlignment="1" applyProtection="1">
      <alignment horizontal="center"/>
      <protection locked="0"/>
    </xf>
    <xf numFmtId="0" fontId="1" fillId="8" borderId="0" xfId="0" applyFont="1" applyFill="1" applyProtection="1">
      <protection locked="0"/>
    </xf>
    <xf numFmtId="175" fontId="14" fillId="8" borderId="0" xfId="0" applyNumberFormat="1" applyFont="1" applyFill="1" applyAlignment="1" applyProtection="1">
      <alignment horizontal="center"/>
      <protection locked="0"/>
    </xf>
    <xf numFmtId="0" fontId="1" fillId="7" borderId="0" xfId="0" applyFont="1" applyFill="1" applyProtection="1">
      <protection locked="0"/>
    </xf>
    <xf numFmtId="175" fontId="1" fillId="7" borderId="0" xfId="0" applyNumberFormat="1" applyFont="1" applyFill="1" applyAlignment="1" applyProtection="1">
      <alignment horizontal="center"/>
      <protection locked="0"/>
    </xf>
    <xf numFmtId="0" fontId="4" fillId="6" borderId="0" xfId="0" applyFont="1" applyFill="1" applyAlignment="1" applyProtection="1">
      <alignment horizontal="right"/>
      <protection locked="0"/>
    </xf>
    <xf numFmtId="0" fontId="0" fillId="6" borderId="0" xfId="0" applyFill="1" applyProtection="1">
      <protection locked="0"/>
    </xf>
    <xf numFmtId="0" fontId="15" fillId="0" borderId="0" xfId="0" applyFont="1" applyProtection="1">
      <protection locked="0"/>
    </xf>
    <xf numFmtId="175" fontId="14" fillId="2" borderId="0" xfId="0" applyNumberFormat="1" applyFont="1" applyFill="1" applyAlignment="1" applyProtection="1">
      <alignment horizontal="center"/>
      <protection locked="0"/>
    </xf>
    <xf numFmtId="175" fontId="19" fillId="0" borderId="0" xfId="0" applyNumberFormat="1" applyFont="1" applyAlignment="1" applyProtection="1">
      <alignment horizontal="center"/>
      <protection locked="0"/>
    </xf>
    <xf numFmtId="0" fontId="5" fillId="2" borderId="0" xfId="0" applyFont="1" applyFill="1" applyProtection="1">
      <protection locked="0"/>
    </xf>
    <xf numFmtId="175" fontId="22" fillId="2" borderId="0" xfId="0" applyNumberFormat="1" applyFont="1" applyFill="1" applyProtection="1">
      <protection locked="0"/>
    </xf>
    <xf numFmtId="0" fontId="16" fillId="7" borderId="0" xfId="0" applyFont="1" applyFill="1" applyAlignment="1" applyProtection="1">
      <alignment horizontal="center"/>
      <protection locked="0"/>
    </xf>
    <xf numFmtId="0" fontId="23" fillId="0" borderId="0" xfId="0" applyNumberFormat="1" applyFont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175" fontId="6" fillId="6" borderId="0" xfId="0" applyNumberFormat="1" applyFont="1" applyFill="1" applyAlignment="1" applyProtection="1">
      <alignment horizontal="center"/>
      <protection locked="0"/>
    </xf>
    <xf numFmtId="0" fontId="4" fillId="6" borderId="0" xfId="0" applyFont="1" applyFill="1" applyAlignment="1" applyProtection="1">
      <alignment horizontal="center"/>
      <protection locked="0"/>
    </xf>
    <xf numFmtId="175" fontId="1" fillId="0" borderId="0" xfId="0" applyNumberFormat="1" applyFont="1" applyAlignment="1" applyProtection="1">
      <alignment horizontal="center"/>
      <protection locked="0"/>
    </xf>
    <xf numFmtId="175" fontId="0" fillId="0" borderId="0" xfId="0" applyNumberFormat="1" applyProtection="1">
      <protection locked="0"/>
    </xf>
    <xf numFmtId="0" fontId="3" fillId="6" borderId="0" xfId="0" applyFont="1" applyFill="1" applyAlignment="1" applyProtection="1">
      <alignment horizontal="right"/>
      <protection locked="0"/>
    </xf>
    <xf numFmtId="0" fontId="15" fillId="3" borderId="0" xfId="0" applyFont="1" applyFill="1" applyAlignment="1" applyProtection="1">
      <alignment horizontal="right"/>
      <protection locked="0"/>
    </xf>
    <xf numFmtId="0" fontId="0" fillId="3" borderId="0" xfId="0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0" fontId="0" fillId="2" borderId="0" xfId="0" applyFill="1" applyAlignment="1" applyProtection="1">
      <alignment horizontal="right"/>
      <protection locked="0"/>
    </xf>
    <xf numFmtId="0" fontId="18" fillId="2" borderId="0" xfId="0" applyFont="1" applyFill="1" applyAlignment="1" applyProtection="1">
      <alignment horizontal="right"/>
      <protection locked="0"/>
    </xf>
    <xf numFmtId="0" fontId="2" fillId="6" borderId="0" xfId="0" applyFont="1" applyFill="1" applyAlignment="1" applyProtection="1">
      <alignment horizontal="right"/>
      <protection locked="0"/>
    </xf>
    <xf numFmtId="0" fontId="1" fillId="7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center"/>
      <protection locked="0"/>
    </xf>
    <xf numFmtId="175" fontId="0" fillId="0" borderId="0" xfId="0" applyNumberFormat="1" applyAlignment="1" applyProtection="1">
      <alignment horizontal="center"/>
      <protection locked="0"/>
    </xf>
    <xf numFmtId="10" fontId="1" fillId="10" borderId="0" xfId="0" applyNumberFormat="1" applyFont="1" applyFill="1" applyAlignment="1" applyProtection="1">
      <alignment horizontal="center"/>
      <protection locked="0"/>
    </xf>
    <xf numFmtId="175" fontId="1" fillId="10" borderId="0" xfId="0" applyNumberFormat="1" applyFont="1" applyFill="1" applyAlignment="1" applyProtection="1">
      <alignment horizontal="center"/>
      <protection locked="0"/>
    </xf>
    <xf numFmtId="0" fontId="9" fillId="6" borderId="0" xfId="0" applyFont="1" applyFill="1" applyAlignment="1" applyProtection="1">
      <alignment horizontal="right"/>
      <protection locked="0"/>
    </xf>
    <xf numFmtId="0" fontId="15" fillId="3" borderId="0" xfId="0" applyFont="1" applyFill="1" applyAlignment="1" applyProtection="1">
      <alignment horizontal="center"/>
      <protection locked="0"/>
    </xf>
    <xf numFmtId="0" fontId="3" fillId="6" borderId="3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3" fillId="6" borderId="6" xfId="0" applyFont="1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7" xfId="0" applyBorder="1" applyProtection="1">
      <protection locked="0"/>
    </xf>
    <xf numFmtId="0" fontId="1" fillId="0" borderId="4" xfId="0" applyFont="1" applyBorder="1" applyAlignment="1" applyProtection="1">
      <alignment horizontal="right"/>
      <protection locked="0"/>
    </xf>
    <xf numFmtId="177" fontId="1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right"/>
      <protection locked="0"/>
    </xf>
    <xf numFmtId="0" fontId="0" fillId="0" borderId="10" xfId="0" applyBorder="1" applyProtection="1">
      <protection locked="0"/>
    </xf>
    <xf numFmtId="178" fontId="1" fillId="0" borderId="10" xfId="0" applyNumberFormat="1" applyFont="1" applyBorder="1" applyAlignment="1" applyProtection="1">
      <alignment horizontal="left"/>
      <protection locked="0"/>
    </xf>
    <xf numFmtId="0" fontId="0" fillId="0" borderId="11" xfId="0" applyBorder="1" applyProtection="1">
      <protection locked="0"/>
    </xf>
    <xf numFmtId="0" fontId="25" fillId="0" borderId="0" xfId="0" applyFont="1" applyBorder="1" applyAlignment="1" applyProtection="1">
      <alignment horizontal="right"/>
      <protection locked="0"/>
    </xf>
    <xf numFmtId="0" fontId="25" fillId="0" borderId="10" xfId="0" applyFont="1" applyBorder="1" applyAlignment="1" applyProtection="1">
      <alignment horizontal="right"/>
      <protection locked="0"/>
    </xf>
    <xf numFmtId="177" fontId="15" fillId="0" borderId="10" xfId="0" applyNumberFormat="1" applyFont="1" applyBorder="1" applyAlignment="1" applyProtection="1">
      <alignment horizontal="left"/>
      <protection locked="0"/>
    </xf>
    <xf numFmtId="0" fontId="9" fillId="11" borderId="4" xfId="0" applyFont="1" applyFill="1" applyBorder="1" applyAlignment="1" applyProtection="1">
      <alignment horizontal="right"/>
      <protection locked="0"/>
    </xf>
    <xf numFmtId="177" fontId="9" fillId="11" borderId="0" xfId="0" applyNumberFormat="1" applyFont="1" applyFill="1" applyBorder="1" applyAlignment="1" applyProtection="1">
      <alignment horizontal="left"/>
      <protection locked="0"/>
    </xf>
    <xf numFmtId="178" fontId="1" fillId="0" borderId="0" xfId="0" applyNumberFormat="1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right"/>
      <protection locked="0"/>
    </xf>
    <xf numFmtId="0" fontId="25" fillId="0" borderId="2" xfId="0" applyFont="1" applyBorder="1" applyAlignment="1" applyProtection="1">
      <alignment horizontal="right"/>
      <protection locked="0"/>
    </xf>
    <xf numFmtId="0" fontId="0" fillId="0" borderId="2" xfId="0" applyBorder="1" applyProtection="1">
      <protection locked="0"/>
    </xf>
    <xf numFmtId="179" fontId="1" fillId="0" borderId="2" xfId="0" applyNumberFormat="1" applyFont="1" applyBorder="1" applyAlignment="1" applyProtection="1">
      <alignment horizontal="left"/>
      <protection locked="0"/>
    </xf>
    <xf numFmtId="0" fontId="0" fillId="0" borderId="8" xfId="0" applyBorder="1" applyProtection="1">
      <protection locked="0"/>
    </xf>
    <xf numFmtId="175" fontId="29" fillId="0" borderId="0" xfId="0" applyNumberFormat="1" applyFont="1" applyAlignment="1" applyProtection="1">
      <alignment horizontal="center"/>
      <protection locked="0"/>
    </xf>
    <xf numFmtId="0" fontId="27" fillId="7" borderId="12" xfId="0" applyFont="1" applyFill="1" applyBorder="1" applyAlignment="1" applyProtection="1">
      <alignment horizontal="center"/>
      <protection locked="0"/>
    </xf>
    <xf numFmtId="0" fontId="10" fillId="7" borderId="13" xfId="0" applyFont="1" applyFill="1" applyBorder="1" applyAlignment="1" applyProtection="1">
      <alignment horizontal="center"/>
      <protection locked="0"/>
    </xf>
    <xf numFmtId="10" fontId="15" fillId="7" borderId="13" xfId="0" applyNumberFormat="1" applyFont="1" applyFill="1" applyBorder="1" applyAlignment="1" applyProtection="1">
      <alignment horizontal="center"/>
      <protection locked="0"/>
    </xf>
    <xf numFmtId="0" fontId="16" fillId="7" borderId="14" xfId="0" applyFont="1" applyFill="1" applyBorder="1" applyAlignment="1" applyProtection="1">
      <alignment horizontal="center"/>
      <protection locked="0"/>
    </xf>
    <xf numFmtId="0" fontId="27" fillId="0" borderId="15" xfId="0" applyFont="1" applyBorder="1" applyProtection="1">
      <protection locked="0"/>
    </xf>
    <xf numFmtId="0" fontId="28" fillId="0" borderId="16" xfId="0" applyFont="1" applyBorder="1" applyAlignment="1" applyProtection="1">
      <alignment horizontal="center"/>
      <protection locked="0"/>
    </xf>
    <xf numFmtId="0" fontId="24" fillId="0" borderId="17" xfId="0" applyFont="1" applyBorder="1" applyAlignment="1" applyProtection="1">
      <alignment horizontal="center"/>
      <protection locked="0"/>
    </xf>
    <xf numFmtId="166" fontId="29" fillId="4" borderId="16" xfId="0" applyNumberFormat="1" applyFont="1" applyFill="1" applyBorder="1" applyAlignment="1" applyProtection="1">
      <alignment horizontal="center"/>
      <protection locked="0"/>
    </xf>
    <xf numFmtId="0" fontId="24" fillId="9" borderId="17" xfId="0" applyFont="1" applyFill="1" applyBorder="1" applyAlignment="1" applyProtection="1">
      <alignment horizontal="center"/>
      <protection locked="0"/>
    </xf>
    <xf numFmtId="175" fontId="29" fillId="5" borderId="16" xfId="0" applyNumberFormat="1" applyFont="1" applyFill="1" applyBorder="1" applyAlignment="1" applyProtection="1">
      <alignment horizontal="center"/>
      <protection locked="0"/>
    </xf>
    <xf numFmtId="0" fontId="30" fillId="0" borderId="18" xfId="0" applyFont="1" applyBorder="1" applyProtection="1">
      <protection locked="0"/>
    </xf>
    <xf numFmtId="0" fontId="28" fillId="0" borderId="19" xfId="0" applyFont="1" applyBorder="1" applyAlignment="1" applyProtection="1">
      <alignment horizontal="center"/>
      <protection locked="0"/>
    </xf>
    <xf numFmtId="175" fontId="31" fillId="5" borderId="19" xfId="0" applyNumberFormat="1" applyFont="1" applyFill="1" applyBorder="1" applyAlignment="1" applyProtection="1">
      <alignment horizontal="center"/>
      <protection locked="0"/>
    </xf>
    <xf numFmtId="0" fontId="24" fillId="0" borderId="20" xfId="0" applyFont="1" applyBorder="1" applyAlignment="1" applyProtection="1">
      <alignment horizontal="center"/>
      <protection locked="0"/>
    </xf>
    <xf numFmtId="185" fontId="29" fillId="4" borderId="16" xfId="0" applyNumberFormat="1" applyFont="1" applyFill="1" applyBorder="1" applyAlignment="1" applyProtection="1">
      <alignment horizontal="center"/>
      <protection locked="0"/>
    </xf>
    <xf numFmtId="175" fontId="29" fillId="4" borderId="16" xfId="0" applyNumberFormat="1" applyFont="1" applyFill="1" applyBorder="1" applyAlignment="1" applyProtection="1">
      <alignment horizontal="center"/>
      <protection locked="0"/>
    </xf>
    <xf numFmtId="171" fontId="29" fillId="4" borderId="16" xfId="0" applyNumberFormat="1" applyFont="1" applyFill="1" applyBorder="1" applyAlignment="1" applyProtection="1">
      <alignment horizontal="center"/>
      <protection locked="0"/>
    </xf>
    <xf numFmtId="0" fontId="28" fillId="4" borderId="0" xfId="0" applyFont="1" applyFill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175" fontId="26" fillId="4" borderId="0" xfId="0" applyNumberFormat="1" applyFont="1" applyFill="1" applyAlignment="1" applyProtection="1">
      <alignment horizontal="center"/>
      <protection locked="0"/>
    </xf>
  </cellXfs>
  <cellStyles count="1">
    <cellStyle name="Normal" xfId="0" builtinId="0"/>
  </cellStyles>
  <dxfs count="11">
    <dxf>
      <font>
        <color rgb="FFBDBDBD"/>
      </font>
      <fill>
        <patternFill patternType="solid">
          <fgColor indexed="64"/>
          <bgColor rgb="FFF5F5F5"/>
        </patternFill>
      </fill>
    </dxf>
    <dxf>
      <font>
        <color rgb="FFBDBDBD"/>
      </font>
      <fill>
        <patternFill patternType="solid">
          <fgColor indexed="64"/>
          <bgColor rgb="FFF5F5F5"/>
        </patternFill>
      </fill>
    </dxf>
    <dxf>
      <font>
        <color rgb="FFBDBDBD"/>
      </font>
    </dxf>
    <dxf>
      <font>
        <color rgb="FFBDBDBD"/>
      </font>
      <fill>
        <patternFill patternType="solid">
          <fgColor indexed="64"/>
          <bgColor rgb="FFF5F5F5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CB947B-06BB-442C-9BBB-C488013066F8}">
  <we:reference id="wa200009404" version="1.0.0.8" store="he-IL" storeType="OMEX"/>
  <we:alternateReferences>
    <we:reference id="WA200009404" version="1.0.0.8" store="" storeType="OMEX"/>
  </we:alternateReferences>
  <we:properties>
    <we:property name="claude.fileId" value="&quot;9a7ca778-414f-41ef-8119-c89ad0453fa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1307-2F9B-485F-AC64-1442047D40E6}">
  <sheetPr>
    <tabColor rgb="FF40E0D0"/>
  </sheetPr>
  <dimension ref="A1:W401"/>
  <sheetViews>
    <sheetView rightToLeft="1" tabSelected="1" topLeftCell="M1" zoomScale="67" zoomScaleNormal="70" workbookViewId="0">
      <pane ySplit="4" topLeftCell="A5" activePane="bottomLeft" state="frozen"/>
      <selection pane="bottomLeft" activeCell="U9" sqref="U9"/>
    </sheetView>
  </sheetViews>
  <sheetFormatPr defaultRowHeight="13.8" outlineLevelRow="1" x14ac:dyDescent="0.25"/>
  <cols>
    <col min="1" max="22" width="18.296875" style="18" customWidth="1"/>
    <col min="23" max="16384" width="8.796875" style="18"/>
  </cols>
  <sheetData>
    <row r="1" spans="1:23" ht="22.05" customHeight="1" x14ac:dyDescent="0.25">
      <c r="A1" s="17">
        <v>2.5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3" ht="22.0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3" ht="22.05" customHeight="1" x14ac:dyDescent="0.25">
      <c r="A3" s="19" t="s">
        <v>19</v>
      </c>
      <c r="B3" s="19"/>
      <c r="C3" s="19"/>
      <c r="D3" s="19"/>
      <c r="F3" s="19" t="s">
        <v>20</v>
      </c>
      <c r="G3" s="19"/>
      <c r="H3" s="19"/>
      <c r="I3" s="19"/>
      <c r="J3" s="19"/>
      <c r="K3" s="19"/>
      <c r="L3" s="19"/>
      <c r="N3" s="19" t="s">
        <v>21</v>
      </c>
      <c r="O3" s="19"/>
      <c r="P3" s="19"/>
      <c r="Q3" s="19"/>
      <c r="S3" s="19" t="s">
        <v>22</v>
      </c>
      <c r="T3" s="19"/>
      <c r="U3" s="19"/>
      <c r="V3" s="19"/>
    </row>
    <row r="4" spans="1:23" ht="22.05" customHeight="1" x14ac:dyDescent="0.25">
      <c r="A4" s="20" t="s">
        <v>23</v>
      </c>
      <c r="B4" s="20" t="s">
        <v>24</v>
      </c>
      <c r="C4" s="20" t="s">
        <v>0</v>
      </c>
      <c r="D4" s="20" t="s">
        <v>25</v>
      </c>
      <c r="F4" s="20" t="s">
        <v>3</v>
      </c>
      <c r="G4" s="20" t="s">
        <v>5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N4" s="20" t="s">
        <v>23</v>
      </c>
      <c r="O4" s="20" t="s">
        <v>24</v>
      </c>
      <c r="P4" s="20" t="s">
        <v>0</v>
      </c>
      <c r="Q4" s="20" t="s">
        <v>25</v>
      </c>
      <c r="S4" s="20" t="s">
        <v>23</v>
      </c>
      <c r="T4" s="20" t="s">
        <v>24</v>
      </c>
      <c r="U4" s="20" t="s">
        <v>0</v>
      </c>
      <c r="V4" s="20" t="s">
        <v>25</v>
      </c>
    </row>
    <row r="5" spans="1:23" ht="22.05" customHeight="1" x14ac:dyDescent="0.25">
      <c r="A5" s="21" t="s">
        <v>26</v>
      </c>
      <c r="B5" s="10"/>
      <c r="C5" s="10"/>
      <c r="D5" s="10"/>
      <c r="F5" s="21" t="s">
        <v>53</v>
      </c>
      <c r="G5" s="10"/>
      <c r="H5" s="10"/>
      <c r="I5" s="10"/>
      <c r="J5" s="10"/>
      <c r="K5" s="10"/>
      <c r="L5" s="10"/>
      <c r="N5" s="21" t="s">
        <v>64</v>
      </c>
      <c r="O5" s="10"/>
      <c r="P5" s="10"/>
      <c r="Q5" s="10"/>
      <c r="S5" s="21" t="s">
        <v>85</v>
      </c>
      <c r="T5" s="10"/>
      <c r="U5" s="10"/>
      <c r="V5" s="10"/>
    </row>
    <row r="6" spans="1:23" ht="22.05" customHeight="1" x14ac:dyDescent="0.3">
      <c r="A6" s="18" t="s">
        <v>27</v>
      </c>
      <c r="B6" s="22" t="s">
        <v>28</v>
      </c>
      <c r="C6" s="23">
        <v>100</v>
      </c>
      <c r="D6" s="24" t="s">
        <v>29</v>
      </c>
      <c r="F6" s="25" t="s">
        <v>54</v>
      </c>
      <c r="G6" s="4">
        <v>1300000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N6" s="18" t="s">
        <v>65</v>
      </c>
      <c r="O6" s="22" t="s">
        <v>28</v>
      </c>
      <c r="P6" s="4">
        <v>5700</v>
      </c>
      <c r="Q6" s="24" t="s">
        <v>66</v>
      </c>
      <c r="S6" s="25" t="s">
        <v>86</v>
      </c>
      <c r="T6" s="22" t="s">
        <v>28</v>
      </c>
      <c r="U6" s="12">
        <v>10</v>
      </c>
      <c r="V6" s="24" t="s">
        <v>87</v>
      </c>
    </row>
    <row r="7" spans="1:23" ht="22.05" customHeight="1" x14ac:dyDescent="0.3">
      <c r="A7" s="18" t="s">
        <v>30</v>
      </c>
      <c r="B7" s="22" t="s">
        <v>28</v>
      </c>
      <c r="C7" s="23">
        <v>0</v>
      </c>
      <c r="D7" s="24" t="s">
        <v>29</v>
      </c>
      <c r="F7" s="25" t="s">
        <v>55</v>
      </c>
      <c r="G7" s="5">
        <v>4.2500000000000003E-2</v>
      </c>
      <c r="H7" s="5">
        <v>4.4999999999999998E-2</v>
      </c>
      <c r="I7" s="5">
        <v>4.4999999999999998E-2</v>
      </c>
      <c r="J7" s="5">
        <v>4.4999999999999998E-2</v>
      </c>
      <c r="K7" s="5">
        <v>4.4999999999999998E-2</v>
      </c>
      <c r="L7" s="5">
        <v>4.4999999999999998E-2</v>
      </c>
      <c r="N7" s="18" t="s">
        <v>67</v>
      </c>
      <c r="O7" s="22" t="s">
        <v>32</v>
      </c>
      <c r="P7" s="3">
        <f>P6*12</f>
        <v>68400</v>
      </c>
      <c r="Q7" s="24" t="s">
        <v>68</v>
      </c>
      <c r="S7" s="18" t="s">
        <v>88</v>
      </c>
      <c r="T7" s="22" t="s">
        <v>28</v>
      </c>
      <c r="U7" s="9">
        <v>0</v>
      </c>
      <c r="V7" s="24" t="s">
        <v>70</v>
      </c>
      <c r="W7" s="104" t="s">
        <v>149</v>
      </c>
    </row>
    <row r="8" spans="1:23" ht="22.05" customHeight="1" x14ac:dyDescent="0.3">
      <c r="A8" s="18" t="s">
        <v>31</v>
      </c>
      <c r="B8" s="22" t="s">
        <v>32</v>
      </c>
      <c r="C8" s="26">
        <f>C6+0.5*C7</f>
        <v>100</v>
      </c>
      <c r="D8" s="24" t="s">
        <v>29</v>
      </c>
      <c r="F8" s="25" t="s">
        <v>56</v>
      </c>
      <c r="G8" s="6">
        <v>30</v>
      </c>
      <c r="H8" s="6">
        <v>5</v>
      </c>
      <c r="I8" s="6">
        <v>25</v>
      </c>
      <c r="J8" s="6">
        <v>25</v>
      </c>
      <c r="K8" s="6">
        <v>25</v>
      </c>
      <c r="L8" s="6">
        <v>25</v>
      </c>
      <c r="N8" s="18" t="s">
        <v>69</v>
      </c>
      <c r="O8" s="22" t="s">
        <v>32</v>
      </c>
      <c r="P8" s="8">
        <f>IFERROR(P6*12/C9,0)</f>
        <v>5.4719999999999998E-2</v>
      </c>
      <c r="Q8" s="24" t="s">
        <v>70</v>
      </c>
      <c r="S8" s="18" t="s">
        <v>89</v>
      </c>
      <c r="T8" s="103" t="s">
        <v>150</v>
      </c>
      <c r="U8" s="85">
        <v>1200000</v>
      </c>
      <c r="V8" s="24" t="s">
        <v>1</v>
      </c>
      <c r="W8" s="105">
        <v>2000000</v>
      </c>
    </row>
    <row r="9" spans="1:23" ht="22.05" customHeight="1" x14ac:dyDescent="0.3">
      <c r="A9" s="25" t="s">
        <v>33</v>
      </c>
      <c r="B9" s="22" t="s">
        <v>28</v>
      </c>
      <c r="C9" s="1">
        <v>1250000</v>
      </c>
      <c r="D9" s="24" t="s">
        <v>1</v>
      </c>
      <c r="F9" s="25" t="s">
        <v>6</v>
      </c>
      <c r="G9" s="7" t="s">
        <v>7</v>
      </c>
      <c r="H9" s="7" t="s">
        <v>7</v>
      </c>
      <c r="I9" s="7" t="s">
        <v>7</v>
      </c>
      <c r="J9" s="7" t="s">
        <v>7</v>
      </c>
      <c r="K9" s="7" t="s">
        <v>7</v>
      </c>
      <c r="L9" s="7" t="s">
        <v>7</v>
      </c>
      <c r="N9" s="7" t="s">
        <v>71</v>
      </c>
      <c r="O9" s="22" t="s">
        <v>28</v>
      </c>
      <c r="P9" s="9">
        <v>0</v>
      </c>
      <c r="Q9" s="24" t="s">
        <v>70</v>
      </c>
      <c r="S9" s="21" t="s">
        <v>122</v>
      </c>
      <c r="T9" s="10"/>
      <c r="U9" s="10"/>
      <c r="V9" s="10"/>
    </row>
    <row r="10" spans="1:23" ht="22.05" customHeight="1" x14ac:dyDescent="0.3">
      <c r="A10" s="18" t="s">
        <v>34</v>
      </c>
      <c r="B10" s="22" t="s">
        <v>32</v>
      </c>
      <c r="C10" s="27">
        <f>IFERROR(C9/C6,0)</f>
        <v>12500</v>
      </c>
      <c r="D10" s="24" t="s">
        <v>35</v>
      </c>
      <c r="F10" s="28" t="s">
        <v>57</v>
      </c>
      <c r="G10" s="29">
        <f t="shared" ref="G10:L10" si="0">IF(G6&lt;=0,0,IF(G9="שפיצר",IFERROR(-PMT(G7/12,G8*12,G6),0),IF(G9="קרן שוה",G6/(G8*12)+G6*G7/12,IF(G9="בלון מלא",0,IF(G9="בלון חלקי",G6*G7/12,IFERROR(-PMT(G7/12,G8*12,G6),0))))))</f>
        <v>6395.2185840332877</v>
      </c>
      <c r="H10" s="29">
        <f t="shared" si="0"/>
        <v>0</v>
      </c>
      <c r="I10" s="29">
        <f t="shared" si="0"/>
        <v>0</v>
      </c>
      <c r="J10" s="29">
        <f t="shared" si="0"/>
        <v>0</v>
      </c>
      <c r="K10" s="29">
        <f t="shared" si="0"/>
        <v>0</v>
      </c>
      <c r="L10" s="29">
        <f t="shared" si="0"/>
        <v>0</v>
      </c>
      <c r="N10" s="18" t="s">
        <v>72</v>
      </c>
      <c r="O10" s="22" t="s">
        <v>28</v>
      </c>
      <c r="P10" s="9">
        <v>0</v>
      </c>
      <c r="Q10" s="24" t="s">
        <v>70</v>
      </c>
      <c r="S10" s="18" t="s">
        <v>123</v>
      </c>
      <c r="T10" s="22" t="s">
        <v>28</v>
      </c>
      <c r="U10" s="14">
        <v>0.03</v>
      </c>
      <c r="V10" s="24" t="s">
        <v>70</v>
      </c>
    </row>
    <row r="11" spans="1:23" ht="22.05" customHeight="1" x14ac:dyDescent="0.3">
      <c r="A11" s="18" t="s">
        <v>36</v>
      </c>
      <c r="B11" s="22" t="s">
        <v>32</v>
      </c>
      <c r="C11" s="27">
        <f>IFERROR(C9/C8,0)</f>
        <v>12500</v>
      </c>
      <c r="D11" s="24" t="s">
        <v>35</v>
      </c>
      <c r="F11" s="25" t="s">
        <v>58</v>
      </c>
      <c r="G11" s="15">
        <f>IF(G6&lt;=0,0,IF(G9="שפיצר",IFERROR(CUMIPMT(G7/12,G8*12,G6,1,MIN(G8*12,$U$6*12),0)*-1,G6*G7*MIN(G8,$U$6)),IF(G9="בלון מלא",G6*G7*MIN(G8,$U$6),IF(G9="בלון חלקי",G6*G7*MIN(G8,$U$6),IF(G9="קרן שוה",G6*G7*MIN(G8,$U$6)/2+0*G6,G6*G7*MIN(G8,$U$6))))))</f>
        <v>500188.27780357987</v>
      </c>
      <c r="H11" s="15">
        <f>IF(H6&lt;=0,0,IF(H9="שפיצר",IFERROR(CUMIPMT(H7/12,H8*12,H6,1,MIN(H8*12,$U$6*12),0)*-1,H6*H7*MIN(H8,$U$6)),IF(H9="בלון מלא",H6*H7*MIN(H8,$U$6),IF(H9="בלון חלקי",H6*H7*MIN(H8,$U$6),IF(H9="קרן שוה",H6*H7*MIN(H8,$U$6)/2,H6*H7*MIN(H8,$U$6))))))</f>
        <v>0</v>
      </c>
      <c r="I11" s="15">
        <f>IF(I6&lt;=0,0,IF(I9="שפיצר",IFERROR(CUMIPMT(I7/12,I8*12,I6,1,MIN(I8*12,$U$6*12),0)*-1,I6*I7*MIN(I8,$U$6)),IF(I9="בלון מלא",I6*I7*MIN(I8,$U$6),IF(I9="בלון חלקי",I6*I7*MIN(I8,$U$6),IF(I9="קרן שוה",I6*I7*MIN(I8,$U$6)/2,I6*I7*MIN(I8,$U$6))))))</f>
        <v>0</v>
      </c>
      <c r="J11" s="15">
        <f>IF(J6&lt;=0,0,IF(J9="שפיצר",IFERROR(CUMIPMT(J7/12,J8*12,J6,1,MIN(J8*12,$U$6*12),0)*-1,J6*J7*MIN(J8,$U$6)),IF(J9="בלון מלא",J6*J7*MIN(J8,$U$6),IF(J9="בלון חלקי",J6*J7*MIN(J8,$U$6),IF(J9="קרן שוה",J6*J7*MIN(J8,$U$6)/2,J6*J7*MIN(J8,$U$6))))))</f>
        <v>0</v>
      </c>
      <c r="K11" s="15">
        <f>IF(K6&lt;=0,0,IF(K9="שפיצר",IFERROR(CUMIPMT(K7/12,K8*12,K6,1,MIN(K8*12,$U$6*12),0)*-1,K6*K7*MIN(K8,$U$6)),IF(K9="בלון מלא",K6*K7*MIN(K8,$U$6),IF(K9="בלון חלקי",K6*K7*MIN(K8,$U$6),IF(K9="קרן שוה",K6*K7*MIN(K8,$U$6)/2,K6*K7*MIN(K8,$U$6))))))</f>
        <v>0</v>
      </c>
      <c r="L11" s="15">
        <f>IF(L6&lt;=0,0,IF(L9="שפיצר",IFERROR(CUMIPMT(L7/12,L8*12,L6,1,MIN(L8*12,$U$6*12),0)*-1,L6*L7*MIN(L8,$U$6)),IF(L9="בלון מלא",L6*L7*MIN(L8,$U$6),IF(L9="בלון חלקי",L6*L7*MIN(L8,$U$6),IF(L9="קרן שוה",L6*L7*MIN(L8,$U$6)/2,L6*L7*MIN(L8,$U$6))))))</f>
        <v>0</v>
      </c>
      <c r="N11" s="21" t="s">
        <v>73</v>
      </c>
      <c r="O11" s="10"/>
      <c r="P11" s="10"/>
      <c r="Q11" s="10"/>
      <c r="S11" s="18" t="s">
        <v>90</v>
      </c>
      <c r="T11" s="22" t="s">
        <v>24</v>
      </c>
      <c r="U11" s="3" t="s">
        <v>0</v>
      </c>
      <c r="V11" s="24" t="s">
        <v>25</v>
      </c>
    </row>
    <row r="12" spans="1:23" ht="22.05" customHeight="1" x14ac:dyDescent="0.3">
      <c r="A12" s="21" t="s">
        <v>37</v>
      </c>
      <c r="B12" s="10"/>
      <c r="C12" s="10"/>
      <c r="D12" s="10"/>
      <c r="F12" s="25" t="s">
        <v>59</v>
      </c>
      <c r="G12" s="3">
        <f t="shared" ref="G12:L12" si="1">IF(G6&lt;=0,0,IF(G9="שפיצר",IF($U$6&gt;=G8,0,G6*((1+G7/12)^(G8*12)-(1+G7/12)^($U$6*12))/((1+G7/12)^(G8*12)-1)),IF(G9="קרן שוה",MAX(0,G6-G6/(G8*12)*MIN(G8*12,$U$6*12)),IF(G9="בלון מלא",IF($U$6&gt;=G8,0,G6),IF(G9="בלון חלקי",IF($U$6&gt;=G8,0,G6),G6)))))</f>
        <v>1032762.0477195902</v>
      </c>
      <c r="H12" s="3">
        <f t="shared" si="1"/>
        <v>0</v>
      </c>
      <c r="I12" s="3">
        <f t="shared" si="1"/>
        <v>0</v>
      </c>
      <c r="J12" s="3">
        <f t="shared" si="1"/>
        <v>0</v>
      </c>
      <c r="K12" s="3">
        <f t="shared" si="1"/>
        <v>0</v>
      </c>
      <c r="L12" s="3">
        <f t="shared" si="1"/>
        <v>0</v>
      </c>
      <c r="N12" s="18" t="s">
        <v>74</v>
      </c>
      <c r="O12" s="22" t="s">
        <v>28</v>
      </c>
      <c r="P12" s="9">
        <v>0</v>
      </c>
      <c r="Q12" s="24" t="s">
        <v>70</v>
      </c>
      <c r="S12" s="18" t="s">
        <v>91</v>
      </c>
      <c r="T12" s="22" t="s">
        <v>32</v>
      </c>
      <c r="U12" s="13">
        <f>U8*0.02*1.17</f>
        <v>28080</v>
      </c>
      <c r="V12" s="24" t="s">
        <v>1</v>
      </c>
    </row>
    <row r="13" spans="1:23" ht="22.05" customHeight="1" x14ac:dyDescent="0.3">
      <c r="A13" s="18" t="s">
        <v>38</v>
      </c>
      <c r="B13" s="16" t="s">
        <v>16</v>
      </c>
      <c r="C13" s="2"/>
      <c r="D13" s="2"/>
      <c r="F13" s="30" t="s">
        <v>60</v>
      </c>
      <c r="G13" s="31">
        <f t="shared" ref="G13:L13" si="2">G10*MIN(G8,$U$6)*12+IF(OR(G9="בלון מלא",G9="בלון חלקי"),IF($U$6&gt;=G8,G6,0),0)</f>
        <v>767426.23008399457</v>
      </c>
      <c r="H13" s="31">
        <f t="shared" si="2"/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N13" s="18" t="s">
        <v>75</v>
      </c>
      <c r="O13" s="22" t="s">
        <v>32</v>
      </c>
      <c r="P13" s="3">
        <f>P7*P12</f>
        <v>0</v>
      </c>
      <c r="Q13" s="24" t="s">
        <v>68</v>
      </c>
      <c r="S13" s="21" t="s">
        <v>92</v>
      </c>
      <c r="T13" s="10" t="s">
        <v>32</v>
      </c>
      <c r="U13" s="10">
        <f>U8*0.005*1.17</f>
        <v>7020</v>
      </c>
      <c r="V13" s="10" t="s">
        <v>1</v>
      </c>
    </row>
    <row r="14" spans="1:23" ht="22.05" customHeight="1" x14ac:dyDescent="0.3">
      <c r="A14" s="18" t="s">
        <v>39</v>
      </c>
      <c r="B14" s="16" t="s">
        <v>32</v>
      </c>
      <c r="C14" s="3">
        <f>IF(B13="דירה יחידה",MAX(0,MIN(C9,1978745)*0+MAX(0,MIN(C9,2347040)-1978745)*0.035+MAX(0,MIN(C9,6055070)-2347040)*0.05+MAX(0,MIN(C9,20183565)-6055070)*0.08+MAX(0,C9-20183565)*0.1),IF(C9&lt;=6055070,C9*0.08,6055070*0.08+(C9-6055070)*0.1))</f>
        <v>0</v>
      </c>
      <c r="D14" s="24" t="s">
        <v>1</v>
      </c>
      <c r="F14" s="32" t="s">
        <v>61</v>
      </c>
      <c r="G14" s="33"/>
      <c r="H14" s="33"/>
      <c r="I14" s="33"/>
      <c r="J14" s="33"/>
      <c r="K14" s="33"/>
      <c r="L14" s="33"/>
      <c r="N14" s="18" t="s">
        <v>76</v>
      </c>
      <c r="O14" s="22" t="s">
        <v>28</v>
      </c>
      <c r="P14" s="4">
        <v>0</v>
      </c>
      <c r="Q14" s="24" t="s">
        <v>66</v>
      </c>
      <c r="S14" s="18" t="s">
        <v>93</v>
      </c>
      <c r="T14" s="22" t="s">
        <v>32</v>
      </c>
      <c r="U14" s="3">
        <f>U12+U13</f>
        <v>35100</v>
      </c>
      <c r="V14" s="24" t="s">
        <v>1</v>
      </c>
    </row>
    <row r="15" spans="1:23" ht="22.05" customHeight="1" x14ac:dyDescent="0.3">
      <c r="A15" s="18" t="s">
        <v>40</v>
      </c>
      <c r="B15" s="7" t="s">
        <v>32</v>
      </c>
      <c r="C15" s="3">
        <v>25000</v>
      </c>
      <c r="D15" s="24" t="s">
        <v>1</v>
      </c>
      <c r="F15" s="34" t="s">
        <v>62</v>
      </c>
      <c r="G15" s="13">
        <f>SUM(G10:L10)</f>
        <v>6395.2185840332877</v>
      </c>
      <c r="H15" s="2"/>
      <c r="N15" s="18" t="s">
        <v>77</v>
      </c>
      <c r="O15" s="22" t="s">
        <v>28</v>
      </c>
      <c r="P15" s="4">
        <v>0</v>
      </c>
      <c r="Q15" s="24" t="s">
        <v>66</v>
      </c>
      <c r="S15" s="18" t="s">
        <v>94</v>
      </c>
      <c r="T15" s="22" t="s">
        <v>24</v>
      </c>
      <c r="U15" s="3" t="s">
        <v>0</v>
      </c>
      <c r="V15" s="24" t="s">
        <v>25</v>
      </c>
    </row>
    <row r="16" spans="1:23" ht="22.05" customHeight="1" x14ac:dyDescent="0.3">
      <c r="A16" s="18" t="s">
        <v>41</v>
      </c>
      <c r="B16" s="7" t="s">
        <v>32</v>
      </c>
      <c r="C16" s="3">
        <f>C9*0.005*1.17</f>
        <v>7312.5</v>
      </c>
      <c r="D16" s="24" t="s">
        <v>1</v>
      </c>
      <c r="F16" s="34" t="s">
        <v>63</v>
      </c>
      <c r="G16" s="13">
        <f>SUM(G12:L12)</f>
        <v>1032762.0477195902</v>
      </c>
      <c r="N16" s="18" t="s">
        <v>78</v>
      </c>
      <c r="O16" s="22" t="s">
        <v>28</v>
      </c>
      <c r="P16" s="4">
        <v>10000</v>
      </c>
      <c r="Q16" s="24" t="s">
        <v>68</v>
      </c>
      <c r="S16" s="18" t="s">
        <v>124</v>
      </c>
      <c r="T16" s="22" t="s">
        <v>125</v>
      </c>
      <c r="U16" s="35">
        <f>C9</f>
        <v>1250000</v>
      </c>
      <c r="V16" s="24" t="s">
        <v>1</v>
      </c>
    </row>
    <row r="17" spans="1:22" ht="22.05" customHeight="1" x14ac:dyDescent="0.3">
      <c r="A17" s="18" t="s">
        <v>42</v>
      </c>
      <c r="B17" s="7" t="s">
        <v>32</v>
      </c>
      <c r="C17" s="4">
        <v>2500</v>
      </c>
      <c r="D17" s="24" t="s">
        <v>1</v>
      </c>
      <c r="N17" s="18" t="s">
        <v>79</v>
      </c>
      <c r="O17" s="22" t="s">
        <v>28</v>
      </c>
      <c r="P17" s="4">
        <v>0</v>
      </c>
      <c r="Q17" s="24" t="s">
        <v>68</v>
      </c>
      <c r="S17" s="25" t="s">
        <v>126</v>
      </c>
      <c r="T17" s="22" t="s">
        <v>32</v>
      </c>
      <c r="U17" s="36">
        <f>C9*(1+U10)^U6</f>
        <v>1679895.4741801522</v>
      </c>
      <c r="V17" s="24" t="s">
        <v>1</v>
      </c>
    </row>
    <row r="18" spans="1:22" ht="22.05" customHeight="1" x14ac:dyDescent="0.3">
      <c r="A18" s="18" t="s">
        <v>43</v>
      </c>
      <c r="B18" s="7" t="s">
        <v>32</v>
      </c>
      <c r="C18" s="4">
        <v>0</v>
      </c>
      <c r="D18" s="24" t="s">
        <v>1</v>
      </c>
      <c r="N18" s="18" t="s">
        <v>80</v>
      </c>
      <c r="O18" s="22" t="s">
        <v>28</v>
      </c>
      <c r="P18" s="9">
        <v>0</v>
      </c>
      <c r="Q18" s="24" t="s">
        <v>70</v>
      </c>
      <c r="S18" s="32" t="s">
        <v>127</v>
      </c>
      <c r="T18" s="37" t="s">
        <v>32</v>
      </c>
      <c r="U18" s="38">
        <f>C14+SUM(C15:C20)+C22+C23</f>
        <v>63812.5</v>
      </c>
      <c r="V18" s="37" t="s">
        <v>1</v>
      </c>
    </row>
    <row r="19" spans="1:22" ht="22.05" customHeight="1" x14ac:dyDescent="0.3">
      <c r="A19" s="18" t="s">
        <v>44</v>
      </c>
      <c r="B19" s="7" t="s">
        <v>32</v>
      </c>
      <c r="C19" s="4">
        <v>18000</v>
      </c>
      <c r="D19" s="24" t="s">
        <v>1</v>
      </c>
      <c r="N19" s="18" t="s">
        <v>81</v>
      </c>
      <c r="O19" s="22" t="s">
        <v>32</v>
      </c>
      <c r="P19" s="3">
        <v>0</v>
      </c>
      <c r="Q19" s="24" t="s">
        <v>68</v>
      </c>
      <c r="S19" s="18" t="s">
        <v>95</v>
      </c>
      <c r="T19" s="22" t="s">
        <v>32</v>
      </c>
      <c r="U19" s="3">
        <f>U8-U17-U18-U14</f>
        <v>-578807.97418015217</v>
      </c>
      <c r="V19" s="24" t="s">
        <v>1</v>
      </c>
    </row>
    <row r="20" spans="1:22" ht="22.05" customHeight="1" x14ac:dyDescent="0.3">
      <c r="A20" s="18" t="s">
        <v>45</v>
      </c>
      <c r="B20" s="7" t="s">
        <v>32</v>
      </c>
      <c r="C20" s="4">
        <v>0</v>
      </c>
      <c r="D20" s="24" t="s">
        <v>1</v>
      </c>
      <c r="N20" s="25" t="s">
        <v>82</v>
      </c>
      <c r="O20" s="22" t="s">
        <v>32</v>
      </c>
      <c r="P20" s="11">
        <f>P13+P14*12+P15*12+P16+P17+P19</f>
        <v>10000</v>
      </c>
      <c r="Q20" s="39" t="s">
        <v>68</v>
      </c>
      <c r="S20" s="18" t="s">
        <v>96</v>
      </c>
      <c r="T20" s="22" t="s">
        <v>28</v>
      </c>
      <c r="U20" s="15">
        <v>0.25</v>
      </c>
      <c r="V20" s="24" t="s">
        <v>70</v>
      </c>
    </row>
    <row r="21" spans="1:22" ht="22.05" customHeight="1" x14ac:dyDescent="0.3">
      <c r="A21" s="21" t="s">
        <v>46</v>
      </c>
      <c r="B21" s="10"/>
      <c r="C21" s="10">
        <v>0</v>
      </c>
      <c r="D21" s="10"/>
      <c r="N21" s="32" t="s">
        <v>83</v>
      </c>
      <c r="O21" s="33"/>
      <c r="P21" s="33"/>
      <c r="Q21" s="33"/>
      <c r="S21" s="18" t="s">
        <v>97</v>
      </c>
      <c r="T21" s="22" t="s">
        <v>32</v>
      </c>
      <c r="U21" s="15">
        <f>IF(B13="דירה יחידה",0,MAX(0,U19)*U20)</f>
        <v>0</v>
      </c>
      <c r="V21" s="24" t="s">
        <v>1</v>
      </c>
    </row>
    <row r="22" spans="1:22" ht="22.05" customHeight="1" thickBot="1" x14ac:dyDescent="0.35">
      <c r="A22" s="18" t="s">
        <v>47</v>
      </c>
      <c r="B22" s="16" t="s">
        <v>28</v>
      </c>
      <c r="C22" s="4">
        <v>10000</v>
      </c>
      <c r="D22" s="24" t="s">
        <v>1</v>
      </c>
      <c r="N22" s="25" t="s">
        <v>84</v>
      </c>
      <c r="O22" s="22" t="s">
        <v>32</v>
      </c>
      <c r="P22" s="13">
        <f>P7-P20</f>
        <v>58400</v>
      </c>
      <c r="Q22" s="24" t="s">
        <v>68</v>
      </c>
      <c r="S22" s="18" t="s">
        <v>98</v>
      </c>
      <c r="T22" s="22"/>
      <c r="U22" s="40" t="s">
        <v>0</v>
      </c>
      <c r="V22" s="41" t="s">
        <v>25</v>
      </c>
    </row>
    <row r="23" spans="1:22" ht="22.05" customHeight="1" x14ac:dyDescent="0.3">
      <c r="A23" s="18" t="s">
        <v>48</v>
      </c>
      <c r="B23" s="7" t="s">
        <v>32</v>
      </c>
      <c r="C23" s="3">
        <f>C22*0.1</f>
        <v>1000</v>
      </c>
      <c r="D23" s="24" t="s">
        <v>1</v>
      </c>
      <c r="N23" s="86" t="s">
        <v>141</v>
      </c>
      <c r="O23" s="87"/>
      <c r="P23" s="88"/>
      <c r="Q23" s="89"/>
      <c r="S23" s="25" t="s">
        <v>99</v>
      </c>
      <c r="T23" s="22" t="s">
        <v>32</v>
      </c>
      <c r="U23" s="42">
        <f>U8</f>
        <v>1200000</v>
      </c>
      <c r="V23" s="43" t="s">
        <v>1</v>
      </c>
    </row>
    <row r="24" spans="1:22" ht="22.05" customHeight="1" x14ac:dyDescent="0.3">
      <c r="A24" s="32" t="s">
        <v>49</v>
      </c>
      <c r="B24" s="33"/>
      <c r="C24" s="33"/>
      <c r="D24" s="33"/>
      <c r="N24" s="90" t="s">
        <v>142</v>
      </c>
      <c r="O24" s="91" t="s">
        <v>125</v>
      </c>
      <c r="P24" s="101">
        <f>C11</f>
        <v>12500</v>
      </c>
      <c r="Q24" s="92" t="s">
        <v>35</v>
      </c>
      <c r="S24" s="18" t="s">
        <v>128</v>
      </c>
      <c r="T24" s="22" t="s">
        <v>32</v>
      </c>
      <c r="U24" s="18">
        <f>SUM(G12:L12)</f>
        <v>1032762.0477195902</v>
      </c>
      <c r="V24" s="24" t="s">
        <v>1</v>
      </c>
    </row>
    <row r="25" spans="1:22" ht="22.05" customHeight="1" x14ac:dyDescent="0.3">
      <c r="A25" s="18" t="s">
        <v>50</v>
      </c>
      <c r="B25" s="22" t="s">
        <v>32</v>
      </c>
      <c r="C25" s="44">
        <f>SUM(C15:C20)</f>
        <v>52812.5</v>
      </c>
      <c r="D25" s="24" t="s">
        <v>1</v>
      </c>
      <c r="N25" s="90" t="s">
        <v>143</v>
      </c>
      <c r="O25" s="91" t="s">
        <v>28</v>
      </c>
      <c r="P25" s="93">
        <v>0</v>
      </c>
      <c r="Q25" s="94" t="s">
        <v>147</v>
      </c>
      <c r="S25" s="18" t="s">
        <v>14</v>
      </c>
      <c r="T25" s="22" t="s">
        <v>32</v>
      </c>
      <c r="U25" s="18">
        <f>U14</f>
        <v>35100</v>
      </c>
      <c r="V25" s="24" t="s">
        <v>1</v>
      </c>
    </row>
    <row r="26" spans="1:22" ht="22.05" customHeight="1" x14ac:dyDescent="0.3">
      <c r="A26" s="18" t="s">
        <v>51</v>
      </c>
      <c r="B26" s="22" t="s">
        <v>32</v>
      </c>
      <c r="C26" s="3">
        <v>0</v>
      </c>
      <c r="D26" s="24" t="s">
        <v>1</v>
      </c>
      <c r="N26" s="90" t="s">
        <v>144</v>
      </c>
      <c r="O26" s="91" t="s">
        <v>125</v>
      </c>
      <c r="P26" s="102">
        <f>U6</f>
        <v>10</v>
      </c>
      <c r="Q26" s="94" t="s">
        <v>4</v>
      </c>
      <c r="S26" s="18" t="s">
        <v>15</v>
      </c>
      <c r="T26" s="22" t="s">
        <v>32</v>
      </c>
      <c r="U26" s="18">
        <f>U21</f>
        <v>0</v>
      </c>
      <c r="V26" s="24" t="s">
        <v>1</v>
      </c>
    </row>
    <row r="27" spans="1:22" ht="22.05" customHeight="1" x14ac:dyDescent="0.3">
      <c r="A27" s="18" t="s">
        <v>111</v>
      </c>
      <c r="B27" s="22" t="s">
        <v>32</v>
      </c>
      <c r="C27" s="3">
        <f>MAX(C9-C26,0)</f>
        <v>1250000</v>
      </c>
      <c r="D27" s="24" t="s">
        <v>1</v>
      </c>
      <c r="N27" s="90" t="s">
        <v>145</v>
      </c>
      <c r="O27" s="91" t="s">
        <v>32</v>
      </c>
      <c r="P27" s="95">
        <f>P24*(1+P25)^P26</f>
        <v>12500</v>
      </c>
      <c r="Q27" s="92" t="s">
        <v>35</v>
      </c>
      <c r="S27" s="18" t="s">
        <v>100</v>
      </c>
      <c r="T27" s="22" t="s">
        <v>32</v>
      </c>
      <c r="U27" s="45">
        <f>U23-U24-U25-U26</f>
        <v>132137.95228040975</v>
      </c>
      <c r="V27" s="24" t="s">
        <v>1</v>
      </c>
    </row>
    <row r="28" spans="1:22" ht="22.05" customHeight="1" x14ac:dyDescent="0.3">
      <c r="A28" s="25" t="s">
        <v>52</v>
      </c>
      <c r="B28" s="22" t="s">
        <v>32</v>
      </c>
      <c r="C28" s="42">
        <f>C27+C14+C25+C22+C23</f>
        <v>1313812.5</v>
      </c>
      <c r="D28" s="43" t="s">
        <v>1</v>
      </c>
      <c r="N28" s="90" t="s">
        <v>148</v>
      </c>
      <c r="O28" s="91" t="s">
        <v>28</v>
      </c>
      <c r="P28" s="100">
        <v>130</v>
      </c>
      <c r="Q28" s="92" t="s">
        <v>29</v>
      </c>
    </row>
    <row r="29" spans="1:22" ht="22.05" customHeight="1" thickBot="1" x14ac:dyDescent="0.35">
      <c r="N29" s="96" t="s">
        <v>146</v>
      </c>
      <c r="O29" s="97" t="s">
        <v>32</v>
      </c>
      <c r="P29" s="98">
        <f>P27*P28</f>
        <v>1625000</v>
      </c>
      <c r="Q29" s="99" t="s">
        <v>1</v>
      </c>
    </row>
    <row r="30" spans="1:22" ht="22.05" customHeight="1" x14ac:dyDescent="0.3">
      <c r="A30" s="46" t="s">
        <v>101</v>
      </c>
      <c r="B30" s="33"/>
      <c r="C30" s="33"/>
      <c r="D30" s="33"/>
      <c r="F30" s="33"/>
      <c r="G30" s="33"/>
      <c r="H30" s="33"/>
      <c r="I30" s="33"/>
      <c r="J30" s="33"/>
      <c r="K30" s="33"/>
      <c r="L30" s="33"/>
      <c r="N30"/>
      <c r="O30"/>
      <c r="P30"/>
      <c r="Q30"/>
      <c r="S30" s="33"/>
      <c r="T30" s="33"/>
      <c r="U30" s="33"/>
      <c r="V30" s="33"/>
    </row>
    <row r="31" spans="1:22" ht="22.05" customHeight="1" x14ac:dyDescent="0.25">
      <c r="N31"/>
      <c r="O31"/>
      <c r="P31"/>
      <c r="Q31"/>
    </row>
    <row r="32" spans="1:22" ht="22.05" customHeight="1" x14ac:dyDescent="0.25"/>
    <row r="33" spans="1:22" ht="22.05" customHeight="1" x14ac:dyDescent="0.25"/>
    <row r="34" spans="1:22" ht="22.05" customHeight="1" x14ac:dyDescent="0.25"/>
    <row r="35" spans="1:22" ht="22.05" customHeight="1" x14ac:dyDescent="0.25">
      <c r="A35" s="21" t="s">
        <v>112</v>
      </c>
      <c r="B35" s="10"/>
      <c r="C35" s="10"/>
      <c r="D35" s="10"/>
      <c r="S35" s="47" t="s">
        <v>118</v>
      </c>
      <c r="T35" s="48"/>
      <c r="U35" s="48"/>
      <c r="V35" s="48"/>
    </row>
    <row r="36" spans="1:22" ht="22.05" customHeight="1" x14ac:dyDescent="0.25">
      <c r="A36" s="49" t="s">
        <v>117</v>
      </c>
      <c r="B36" s="50"/>
      <c r="C36" s="51"/>
      <c r="D36" s="52"/>
      <c r="S36" s="53" t="s">
        <v>103</v>
      </c>
      <c r="T36" s="53" t="s">
        <v>119</v>
      </c>
      <c r="U36" s="53" t="s">
        <v>120</v>
      </c>
      <c r="V36" s="53" t="s">
        <v>121</v>
      </c>
    </row>
    <row r="37" spans="1:22" ht="22.05" customHeight="1" x14ac:dyDescent="0.25">
      <c r="A37" s="54" t="s">
        <v>113</v>
      </c>
      <c r="S37" s="55">
        <v>0</v>
      </c>
      <c r="T37" s="56">
        <f>-C28</f>
        <v>-1313812.5</v>
      </c>
      <c r="U37" s="57">
        <f>IFERROR(IRR(T37:T47),0)</f>
        <v>-0.2596585837516312</v>
      </c>
      <c r="V37" s="58">
        <f>IFERROR(NPV(0.05,T38:T47)+T37,0)</f>
        <v>-1374328.1325761471</v>
      </c>
    </row>
    <row r="38" spans="1:22" ht="22.05" customHeight="1" x14ac:dyDescent="0.25">
      <c r="A38" s="18" t="s">
        <v>114</v>
      </c>
      <c r="S38" s="55">
        <v>1</v>
      </c>
      <c r="T38" s="56">
        <f>IF($S38&lt;$U$6,($P$22-SUM($G$10:$L$10)*12),IF($S38=$U$6,($P$22-SUM($G$10:$L$10)*12)+$U$27,0))</f>
        <v>-18342.623008399445</v>
      </c>
    </row>
    <row r="39" spans="1:22" ht="22.05" customHeight="1" x14ac:dyDescent="0.25">
      <c r="A39" s="18" t="s">
        <v>115</v>
      </c>
      <c r="S39" s="55">
        <v>2</v>
      </c>
      <c r="T39" s="56">
        <f>IF($S39&lt;$U$6,($P$22-SUM($G$10:$L$10)*12),IF($S39=$U$6,($P$22-SUM($G$10:$L$10)*12)+$U$27,0))</f>
        <v>-18342.623008399445</v>
      </c>
    </row>
    <row r="40" spans="1:22" ht="22.05" customHeight="1" x14ac:dyDescent="0.3">
      <c r="A40" s="59" t="s">
        <v>116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S40" s="55">
        <v>3</v>
      </c>
      <c r="T40" s="56">
        <f>IF($S40&lt;$U$6,($P$22-SUM($G$10:$L$10)*12),IF($S40=$U$6,($P$22-SUM($G$10:$L$10)*12)+$U$27,0))</f>
        <v>-18342.623008399445</v>
      </c>
    </row>
    <row r="41" spans="1:22" ht="22.05" customHeight="1" x14ac:dyDescent="0.25">
      <c r="A41" s="60" t="s">
        <v>102</v>
      </c>
      <c r="B41" s="60" t="s">
        <v>103</v>
      </c>
      <c r="C41" s="60" t="s">
        <v>104</v>
      </c>
      <c r="D41" s="60" t="s">
        <v>105</v>
      </c>
      <c r="E41" s="60" t="s">
        <v>106</v>
      </c>
      <c r="F41" s="60" t="s">
        <v>107</v>
      </c>
      <c r="G41" s="60" t="s">
        <v>108</v>
      </c>
      <c r="H41" s="60" t="s">
        <v>17</v>
      </c>
      <c r="I41" s="60" t="s">
        <v>109</v>
      </c>
      <c r="J41" s="60" t="s">
        <v>110</v>
      </c>
      <c r="K41" s="60" t="s">
        <v>18</v>
      </c>
      <c r="S41" s="55">
        <v>4</v>
      </c>
      <c r="T41" s="56">
        <f>IF($S41&lt;$U$6,($P$22-SUM($G$10:$L$10)*12),IF($S41=$U$6,($P$22-SUM($G$10:$L$10)*12)+$U$27,0))</f>
        <v>-18342.623008399445</v>
      </c>
    </row>
    <row r="42" spans="1:22" ht="22.05" customHeight="1" outlineLevel="1" x14ac:dyDescent="0.25">
      <c r="A42" s="55">
        <v>1</v>
      </c>
      <c r="B42" s="55">
        <f>ROUNDUP(A42/12,0)</f>
        <v>1</v>
      </c>
      <c r="C42" s="56">
        <f>$G$6</f>
        <v>1300000</v>
      </c>
      <c r="D42" s="56">
        <f>IF(AND(A42&lt;=$G$8*12,$G$6&gt;0),IF($G$9="שפיצר",IFERROR(-PMT($G$7/12,$G$8*12,$G$6),0),IF($G$9="קרן שוה",$G$6/($G$8*12)+C42*$G$7/12,IF($G$9="בלון מלא",IF(A42=$G$8*12,$G$6+C42*$G$7/12,0),IF($G$9="בלון חלקי",C42*$G$7/12+IF(A42=$G$8*12,$G$6,0),0)))),0)</f>
        <v>6395.2185840332877</v>
      </c>
      <c r="E42" s="15">
        <f>IF(AND(A42&lt;=$G$8*12,$G$6&gt;0),C42*$G$7/12,0)</f>
        <v>4604.166666666667</v>
      </c>
      <c r="F42" s="56">
        <f>D42-E42</f>
        <v>1791.0519173666207</v>
      </c>
      <c r="G42" s="56">
        <f>MAX(0,C42-F42)</f>
        <v>1298208.9480826333</v>
      </c>
      <c r="H42" s="3">
        <f>$P$6*(1+$P$9)^(B42-1)*(1-$P$12)</f>
        <v>5700</v>
      </c>
      <c r="I42" s="15">
        <f>$P$20/12*(1+$P$10)^(B42-1)-$P$13/12*(1+$P$9)^(B42-1)+$P$13/12*(1+$P$10)^(B42-1)</f>
        <v>833.33333333333337</v>
      </c>
      <c r="J42" s="56">
        <f>H42-I42-D42</f>
        <v>-1528.5519173666207</v>
      </c>
      <c r="K42" s="13">
        <f>J42</f>
        <v>-1528.5519173666207</v>
      </c>
      <c r="S42" s="55">
        <v>5</v>
      </c>
      <c r="T42" s="56">
        <f>IF($S42&lt;$U$6,($P$22-SUM($G$10:$L$10)*12),IF($S42=$U$6,($P$22-SUM($G$10:$L$10)*12)+$U$27,0))</f>
        <v>-18342.623008399445</v>
      </c>
    </row>
    <row r="43" spans="1:22" ht="22.05" customHeight="1" outlineLevel="1" x14ac:dyDescent="0.25">
      <c r="A43" s="55">
        <f>IF(A42&lt;360,A42+1,"")</f>
        <v>2</v>
      </c>
      <c r="B43" s="55">
        <f>IF(A43="","",ROUNDUP(A43/12,0))</f>
        <v>1</v>
      </c>
      <c r="C43" s="56">
        <f>IF(A43="","",G42)</f>
        <v>1298208.9480826333</v>
      </c>
      <c r="D43" s="56">
        <f>IF(A43="","",IF(AND(A43&lt;=$G$8*12,$G$6&gt;0,C43&gt;0.01),IF($G$9="שפיצר",IFERROR(-PMT($G$7/12,$G$8*12,$G$6),0),IF($G$9="קרן שוה",$G$6/($G$8*12)+C43*$G$7/12,IF($G$9="בלון מלא",IF(A43=$G$8*12,C43+C43*$G$7/12,0),IF($G$9="בלון חלקי",C43*$G$7/12+IF(A43=$G$8*12,C43,0),0)))),0))</f>
        <v>6395.2185840332877</v>
      </c>
      <c r="E43" s="15">
        <f>IF(A43="","",IF(AND(A43&lt;=$G$8*12,C43&gt;0.01),C43*$G$7/12,0))</f>
        <v>4597.8233577926594</v>
      </c>
      <c r="F43" s="56">
        <f>IF(A43="","",D43-E43)</f>
        <v>1797.3952262406283</v>
      </c>
      <c r="G43" s="56">
        <f>IF(A43="","",MAX(0,C43-F43))</f>
        <v>1296411.5528563927</v>
      </c>
      <c r="H43" s="3">
        <f>IF(A43="","",$P$6*(1+$P$9)^(B43-1)*(1-$P$12))</f>
        <v>5700</v>
      </c>
      <c r="I43" s="15">
        <f>IF(A43="","",$P$20/12*(1+$P$10)^(B43-1)-$P$13/12*(1+$P$9)^(B43-1)+$P$13/12*(1+$P$10)^(B43-1))</f>
        <v>833.33333333333337</v>
      </c>
      <c r="J43" s="56">
        <f>IF(A43="","",H43-I43-D43)</f>
        <v>-1528.5519173666207</v>
      </c>
      <c r="K43" s="13">
        <f>IF(A43="","",K42+J43)</f>
        <v>-3057.1038347332415</v>
      </c>
      <c r="S43" s="55">
        <v>6</v>
      </c>
      <c r="T43" s="56">
        <f>IF($S43&lt;$U$6,($P$22-SUM($G$10:$L$10)*12),IF($S43=$U$6,($P$22-SUM($G$10:$L$10)*12)+$U$27,0))</f>
        <v>-18342.623008399445</v>
      </c>
    </row>
    <row r="44" spans="1:22" ht="22.05" customHeight="1" outlineLevel="1" x14ac:dyDescent="0.25">
      <c r="A44" s="55">
        <f t="shared" ref="A44:A107" si="3">IF(A43&lt;360,A43+1,"")</f>
        <v>3</v>
      </c>
      <c r="B44" s="55">
        <f t="shared" ref="B44:B107" si="4">IF(A44="","",ROUNDUP(A44/12,0))</f>
        <v>1</v>
      </c>
      <c r="C44" s="56">
        <f t="shared" ref="C44:C107" si="5">IF(A44="","",G43)</f>
        <v>1296411.5528563927</v>
      </c>
      <c r="D44" s="56">
        <f t="shared" ref="D44:D107" si="6">IF(A44="","",IF(AND(A44&lt;=$G$8*12,$G$6&gt;0,C44&gt;0.01),IF($G$9="שפיצר",IFERROR(-PMT($G$7/12,$G$8*12,$G$6),0),IF($G$9="קרן שוה",$G$6/($G$8*12)+C44*$G$7/12,IF($G$9="בלון מלא",IF(A44=$G$8*12,C44+C44*$G$7/12,0),IF($G$9="בלון חלקי",C44*$G$7/12+IF(A44=$G$8*12,C44,0),0)))),0))</f>
        <v>6395.2185840332877</v>
      </c>
      <c r="E44" s="15">
        <f t="shared" ref="E44:E107" si="7">IF(A44="","",IF(AND(A44&lt;=$G$8*12,C44&gt;0.01),C44*$G$7/12,0))</f>
        <v>4591.4575830330577</v>
      </c>
      <c r="F44" s="56">
        <f t="shared" ref="F44:F107" si="8">IF(A44="","",D44-E44)</f>
        <v>1803.76100100023</v>
      </c>
      <c r="G44" s="56">
        <f t="shared" ref="G44:G107" si="9">IF(A44="","",MAX(0,C44-F44))</f>
        <v>1294607.7918553925</v>
      </c>
      <c r="H44" s="3">
        <f t="shared" ref="H44:H107" si="10">IF(A44="","",$P$6*(1+$P$9)^(B44-1)*(1-$P$12))</f>
        <v>5700</v>
      </c>
      <c r="I44" s="15">
        <f t="shared" ref="I44:I107" si="11">IF(A44="","",$P$20/12*(1+$P$10)^(B44-1)-$P$13/12*(1+$P$9)^(B44-1)+$P$13/12*(1+$P$10)^(B44-1))</f>
        <v>833.33333333333337</v>
      </c>
      <c r="J44" s="56">
        <f t="shared" ref="J44:J107" si="12">IF(A44="","",H44-I44-D44)</f>
        <v>-1528.5519173666207</v>
      </c>
      <c r="K44" s="13">
        <f t="shared" ref="K44:K107" si="13">IF(A44="","",K43+J44)</f>
        <v>-4585.6557520998622</v>
      </c>
      <c r="S44" s="55">
        <v>7</v>
      </c>
      <c r="T44" s="56">
        <f>IF($S44&lt;$U$6,($P$22-SUM($G$10:$L$10)*12),IF($S44=$U$6,($P$22-SUM($G$10:$L$10)*12)+$U$27,0))</f>
        <v>-18342.623008399445</v>
      </c>
    </row>
    <row r="45" spans="1:22" ht="22.05" customHeight="1" outlineLevel="1" x14ac:dyDescent="0.25">
      <c r="A45" s="55">
        <f t="shared" si="3"/>
        <v>4</v>
      </c>
      <c r="B45" s="55">
        <f t="shared" si="4"/>
        <v>1</v>
      </c>
      <c r="C45" s="56">
        <f t="shared" si="5"/>
        <v>1294607.7918553925</v>
      </c>
      <c r="D45" s="56">
        <f t="shared" si="6"/>
        <v>6395.2185840332877</v>
      </c>
      <c r="E45" s="15">
        <f t="shared" si="7"/>
        <v>4585.0692628211827</v>
      </c>
      <c r="F45" s="56">
        <f t="shared" si="8"/>
        <v>1810.149321212105</v>
      </c>
      <c r="G45" s="56">
        <f t="shared" si="9"/>
        <v>1292797.6425341803</v>
      </c>
      <c r="H45" s="3">
        <f t="shared" si="10"/>
        <v>5700</v>
      </c>
      <c r="I45" s="15">
        <f t="shared" si="11"/>
        <v>833.33333333333337</v>
      </c>
      <c r="J45" s="56">
        <f t="shared" si="12"/>
        <v>-1528.5519173666207</v>
      </c>
      <c r="K45" s="13">
        <f t="shared" si="13"/>
        <v>-6114.2076694664829</v>
      </c>
      <c r="S45" s="55">
        <v>8</v>
      </c>
      <c r="T45" s="56">
        <f>IF($S45&lt;$U$6,($P$22-SUM($G$10:$L$10)*12),IF($S45=$U$6,($P$22-SUM($G$10:$L$10)*12)+$U$27,0))</f>
        <v>-18342.623008399445</v>
      </c>
    </row>
    <row r="46" spans="1:22" ht="22.05" customHeight="1" outlineLevel="1" x14ac:dyDescent="0.25">
      <c r="A46" s="55">
        <f t="shared" si="3"/>
        <v>5</v>
      </c>
      <c r="B46" s="55">
        <f t="shared" si="4"/>
        <v>1</v>
      </c>
      <c r="C46" s="56">
        <f t="shared" si="5"/>
        <v>1292797.6425341803</v>
      </c>
      <c r="D46" s="56">
        <f t="shared" si="6"/>
        <v>6395.2185840332877</v>
      </c>
      <c r="E46" s="15">
        <f t="shared" si="7"/>
        <v>4578.6583173085555</v>
      </c>
      <c r="F46" s="56">
        <f t="shared" si="8"/>
        <v>1816.5602667247322</v>
      </c>
      <c r="G46" s="56">
        <f t="shared" si="9"/>
        <v>1290981.0822674555</v>
      </c>
      <c r="H46" s="3">
        <f t="shared" si="10"/>
        <v>5700</v>
      </c>
      <c r="I46" s="15">
        <f t="shared" si="11"/>
        <v>833.33333333333337</v>
      </c>
      <c r="J46" s="56">
        <f t="shared" si="12"/>
        <v>-1528.5519173666207</v>
      </c>
      <c r="K46" s="13">
        <f t="shared" si="13"/>
        <v>-7642.7595868331036</v>
      </c>
      <c r="S46" s="55">
        <v>9</v>
      </c>
      <c r="T46" s="56">
        <f>IF($S46&lt;$U$6,($P$22-SUM($G$10:$L$10)*12),IF($S46=$U$6,($P$22-SUM($G$10:$L$10)*12)+$U$27,0))</f>
        <v>-18342.623008399445</v>
      </c>
    </row>
    <row r="47" spans="1:22" ht="22.05" customHeight="1" outlineLevel="1" x14ac:dyDescent="0.25">
      <c r="A47" s="55">
        <f t="shared" si="3"/>
        <v>6</v>
      </c>
      <c r="B47" s="55">
        <f t="shared" si="4"/>
        <v>1</v>
      </c>
      <c r="C47" s="56">
        <f t="shared" si="5"/>
        <v>1290981.0822674555</v>
      </c>
      <c r="D47" s="56">
        <f t="shared" si="6"/>
        <v>6395.2185840332877</v>
      </c>
      <c r="E47" s="15">
        <f t="shared" si="7"/>
        <v>4572.2246663639053</v>
      </c>
      <c r="F47" s="56">
        <f t="shared" si="8"/>
        <v>1822.9939176693824</v>
      </c>
      <c r="G47" s="56">
        <f t="shared" si="9"/>
        <v>1289158.0883497861</v>
      </c>
      <c r="H47" s="3">
        <f t="shared" si="10"/>
        <v>5700</v>
      </c>
      <c r="I47" s="15">
        <f t="shared" si="11"/>
        <v>833.33333333333337</v>
      </c>
      <c r="J47" s="56">
        <f t="shared" si="12"/>
        <v>-1528.5519173666207</v>
      </c>
      <c r="K47" s="13">
        <f t="shared" si="13"/>
        <v>-9171.3115041997244</v>
      </c>
      <c r="S47" s="55">
        <v>10</v>
      </c>
      <c r="T47" s="56">
        <f>IF($S47&lt;$U$6,($P$22-SUM($G$10:$L$10)*12),IF($S47=$U$6,($P$22-SUM($G$10:$L$10)*12)+$U$27,0))</f>
        <v>113795.32927201031</v>
      </c>
    </row>
    <row r="48" spans="1:22" ht="22.05" customHeight="1" outlineLevel="1" thickBot="1" x14ac:dyDescent="0.3">
      <c r="A48" s="55">
        <f t="shared" si="3"/>
        <v>7</v>
      </c>
      <c r="B48" s="55">
        <f t="shared" si="4"/>
        <v>1</v>
      </c>
      <c r="C48" s="56">
        <f t="shared" si="5"/>
        <v>1289158.0883497861</v>
      </c>
      <c r="D48" s="56">
        <f t="shared" si="6"/>
        <v>6395.2185840332877</v>
      </c>
      <c r="E48" s="15">
        <f t="shared" si="7"/>
        <v>4565.7682295721597</v>
      </c>
      <c r="F48" s="56">
        <f t="shared" si="8"/>
        <v>1829.450354461128</v>
      </c>
      <c r="G48" s="56">
        <f t="shared" si="9"/>
        <v>1287328.637995325</v>
      </c>
      <c r="H48" s="3">
        <f t="shared" si="10"/>
        <v>5700</v>
      </c>
      <c r="I48" s="15">
        <f t="shared" si="11"/>
        <v>833.33333333333337</v>
      </c>
      <c r="J48" s="56">
        <f t="shared" si="12"/>
        <v>-1528.5519173666207</v>
      </c>
      <c r="K48" s="13">
        <f t="shared" si="13"/>
        <v>-10699.863421566344</v>
      </c>
    </row>
    <row r="49" spans="1:22" ht="22.05" customHeight="1" outlineLevel="1" thickTop="1" x14ac:dyDescent="0.3">
      <c r="A49" s="55">
        <f t="shared" si="3"/>
        <v>8</v>
      </c>
      <c r="B49" s="55">
        <f t="shared" si="4"/>
        <v>1</v>
      </c>
      <c r="C49" s="56">
        <f t="shared" si="5"/>
        <v>1287328.637995325</v>
      </c>
      <c r="D49" s="56">
        <f t="shared" si="6"/>
        <v>6395.2185840332877</v>
      </c>
      <c r="E49" s="15">
        <f t="shared" si="7"/>
        <v>4559.2889262334429</v>
      </c>
      <c r="F49" s="56">
        <f t="shared" si="8"/>
        <v>1835.9296577998448</v>
      </c>
      <c r="G49" s="56">
        <f t="shared" si="9"/>
        <v>1285492.7083375251</v>
      </c>
      <c r="H49" s="3">
        <f t="shared" si="10"/>
        <v>5700</v>
      </c>
      <c r="I49" s="15">
        <f t="shared" si="11"/>
        <v>833.33333333333337</v>
      </c>
      <c r="J49" s="56">
        <f t="shared" si="12"/>
        <v>-1528.5519173666207</v>
      </c>
      <c r="K49" s="13">
        <f t="shared" si="13"/>
        <v>-12228.415338932966</v>
      </c>
      <c r="N49" s="61" t="s">
        <v>137</v>
      </c>
      <c r="O49" s="62"/>
      <c r="P49" s="62"/>
      <c r="Q49" s="62"/>
      <c r="R49" s="62"/>
      <c r="S49" s="62"/>
      <c r="T49" s="62"/>
      <c r="U49" s="62"/>
      <c r="V49" s="63"/>
    </row>
    <row r="50" spans="1:22" ht="22.05" customHeight="1" outlineLevel="1" x14ac:dyDescent="0.25">
      <c r="A50" s="55">
        <f t="shared" si="3"/>
        <v>9</v>
      </c>
      <c r="B50" s="55">
        <f t="shared" si="4"/>
        <v>1</v>
      </c>
      <c r="C50" s="56">
        <f t="shared" si="5"/>
        <v>1285492.7083375251</v>
      </c>
      <c r="D50" s="56">
        <f t="shared" si="6"/>
        <v>6395.2185840332877</v>
      </c>
      <c r="E50" s="15">
        <f t="shared" si="7"/>
        <v>4552.7866753620683</v>
      </c>
      <c r="F50" s="56">
        <f t="shared" si="8"/>
        <v>1842.4319086712194</v>
      </c>
      <c r="G50" s="56">
        <f t="shared" si="9"/>
        <v>1283650.2764288539</v>
      </c>
      <c r="H50" s="3">
        <f t="shared" si="10"/>
        <v>5700</v>
      </c>
      <c r="I50" s="15">
        <f t="shared" si="11"/>
        <v>833.33333333333337</v>
      </c>
      <c r="J50" s="56">
        <f t="shared" si="12"/>
        <v>-1528.5519173666207</v>
      </c>
      <c r="K50" s="13">
        <f t="shared" si="13"/>
        <v>-13756.967256299587</v>
      </c>
      <c r="N50" s="64"/>
      <c r="O50" s="65"/>
      <c r="P50" s="65"/>
      <c r="Q50" s="65"/>
      <c r="R50" s="65"/>
      <c r="S50" s="65"/>
      <c r="T50" s="65"/>
      <c r="U50" s="65"/>
      <c r="V50" s="66"/>
    </row>
    <row r="51" spans="1:22" ht="22.05" customHeight="1" outlineLevel="1" x14ac:dyDescent="0.25">
      <c r="A51" s="55">
        <f t="shared" si="3"/>
        <v>10</v>
      </c>
      <c r="B51" s="55">
        <f t="shared" si="4"/>
        <v>1</v>
      </c>
      <c r="C51" s="56">
        <f t="shared" si="5"/>
        <v>1283650.2764288539</v>
      </c>
      <c r="D51" s="56">
        <f t="shared" si="6"/>
        <v>6395.2185840332877</v>
      </c>
      <c r="E51" s="15">
        <f t="shared" si="7"/>
        <v>4546.2613956855248</v>
      </c>
      <c r="F51" s="56">
        <f t="shared" si="8"/>
        <v>1848.9571883477629</v>
      </c>
      <c r="G51" s="56">
        <f t="shared" si="9"/>
        <v>1281801.319240506</v>
      </c>
      <c r="H51" s="3">
        <f t="shared" si="10"/>
        <v>5700</v>
      </c>
      <c r="I51" s="15">
        <f t="shared" si="11"/>
        <v>833.33333333333337</v>
      </c>
      <c r="J51" s="56">
        <f t="shared" si="12"/>
        <v>-1528.5519173666207</v>
      </c>
      <c r="K51" s="13">
        <f t="shared" si="13"/>
        <v>-15285.519173666209</v>
      </c>
      <c r="N51" s="67" t="s">
        <v>129</v>
      </c>
      <c r="O51" s="65"/>
      <c r="P51" s="65"/>
      <c r="Q51" s="65"/>
      <c r="R51" s="68">
        <f>C9</f>
        <v>1250000</v>
      </c>
      <c r="S51" s="65"/>
      <c r="T51" s="65"/>
      <c r="U51" s="65"/>
      <c r="V51" s="66"/>
    </row>
    <row r="52" spans="1:22" ht="22.05" customHeight="1" outlineLevel="1" x14ac:dyDescent="0.25">
      <c r="A52" s="55">
        <f t="shared" si="3"/>
        <v>11</v>
      </c>
      <c r="B52" s="55">
        <f t="shared" si="4"/>
        <v>1</v>
      </c>
      <c r="C52" s="56">
        <f t="shared" si="5"/>
        <v>1281801.319240506</v>
      </c>
      <c r="D52" s="56">
        <f t="shared" si="6"/>
        <v>6395.2185840332877</v>
      </c>
      <c r="E52" s="15">
        <f t="shared" si="7"/>
        <v>4539.7130056434589</v>
      </c>
      <c r="F52" s="56">
        <f t="shared" si="8"/>
        <v>1855.5055783898288</v>
      </c>
      <c r="G52" s="56">
        <f t="shared" si="9"/>
        <v>1279945.8136621162</v>
      </c>
      <c r="H52" s="3">
        <f t="shared" si="10"/>
        <v>5700</v>
      </c>
      <c r="I52" s="15">
        <f t="shared" si="11"/>
        <v>833.33333333333337</v>
      </c>
      <c r="J52" s="56">
        <f t="shared" si="12"/>
        <v>-1528.5519173666207</v>
      </c>
      <c r="K52" s="13">
        <f t="shared" si="13"/>
        <v>-16814.071091032831</v>
      </c>
      <c r="N52" s="67" t="s">
        <v>130</v>
      </c>
      <c r="O52" s="65"/>
      <c r="P52" s="65"/>
      <c r="Q52" s="65"/>
      <c r="R52" s="68">
        <f>U8</f>
        <v>1200000</v>
      </c>
      <c r="S52" s="65"/>
      <c r="T52" s="65"/>
      <c r="U52" s="65"/>
      <c r="V52" s="66"/>
    </row>
    <row r="53" spans="1:22" ht="22.05" customHeight="1" outlineLevel="1" x14ac:dyDescent="0.25">
      <c r="A53" s="55">
        <f t="shared" si="3"/>
        <v>12</v>
      </c>
      <c r="B53" s="55">
        <f t="shared" si="4"/>
        <v>1</v>
      </c>
      <c r="C53" s="56">
        <f t="shared" si="5"/>
        <v>1279945.8136621162</v>
      </c>
      <c r="D53" s="56">
        <f t="shared" si="6"/>
        <v>6395.2185840332877</v>
      </c>
      <c r="E53" s="15">
        <f t="shared" si="7"/>
        <v>4533.1414233866617</v>
      </c>
      <c r="F53" s="56">
        <f t="shared" si="8"/>
        <v>1862.077160646626</v>
      </c>
      <c r="G53" s="56">
        <f t="shared" si="9"/>
        <v>1278083.7365014695</v>
      </c>
      <c r="H53" s="3">
        <f t="shared" si="10"/>
        <v>5700</v>
      </c>
      <c r="I53" s="15">
        <f t="shared" si="11"/>
        <v>833.33333333333337</v>
      </c>
      <c r="J53" s="56">
        <f t="shared" si="12"/>
        <v>-1528.5519173666207</v>
      </c>
      <c r="K53" s="13">
        <f t="shared" si="13"/>
        <v>-18342.623008399452</v>
      </c>
      <c r="N53" s="67" t="s">
        <v>13</v>
      </c>
      <c r="O53" s="65"/>
      <c r="P53" s="65"/>
      <c r="Q53" s="65"/>
      <c r="R53" s="69" t="str">
        <f>U6&amp;" שנים"</f>
        <v>10 שנים</v>
      </c>
      <c r="S53" s="65"/>
      <c r="T53" s="65"/>
      <c r="U53" s="65"/>
      <c r="V53" s="66"/>
    </row>
    <row r="54" spans="1:22" ht="22.05" customHeight="1" outlineLevel="1" thickBot="1" x14ac:dyDescent="0.3">
      <c r="A54" s="55">
        <f t="shared" si="3"/>
        <v>13</v>
      </c>
      <c r="B54" s="55">
        <f t="shared" si="4"/>
        <v>2</v>
      </c>
      <c r="C54" s="56">
        <f t="shared" si="5"/>
        <v>1278083.7365014695</v>
      </c>
      <c r="D54" s="56">
        <f t="shared" si="6"/>
        <v>6395.2185840332877</v>
      </c>
      <c r="E54" s="15">
        <f t="shared" si="7"/>
        <v>4526.5465667760382</v>
      </c>
      <c r="F54" s="56">
        <f t="shared" si="8"/>
        <v>1868.6720172572495</v>
      </c>
      <c r="G54" s="56">
        <f t="shared" si="9"/>
        <v>1276215.0644842123</v>
      </c>
      <c r="H54" s="3">
        <f t="shared" si="10"/>
        <v>5700</v>
      </c>
      <c r="I54" s="15">
        <f t="shared" si="11"/>
        <v>833.33333333333337</v>
      </c>
      <c r="J54" s="56">
        <f t="shared" si="12"/>
        <v>-1528.5519173666207</v>
      </c>
      <c r="K54" s="13">
        <f t="shared" si="13"/>
        <v>-19871.174925766074</v>
      </c>
      <c r="N54" s="70" t="s">
        <v>2</v>
      </c>
      <c r="O54" s="71"/>
      <c r="P54" s="71"/>
      <c r="Q54" s="71"/>
      <c r="R54" s="72">
        <f>IFERROR(SUM(G6:L6)/C9,0)</f>
        <v>1.04</v>
      </c>
      <c r="S54" s="71"/>
      <c r="T54" s="71"/>
      <c r="U54" s="71"/>
      <c r="V54" s="73"/>
    </row>
    <row r="55" spans="1:22" ht="22.05" customHeight="1" outlineLevel="1" x14ac:dyDescent="0.25">
      <c r="A55" s="55">
        <f t="shared" si="3"/>
        <v>14</v>
      </c>
      <c r="B55" s="55">
        <f t="shared" si="4"/>
        <v>2</v>
      </c>
      <c r="C55" s="56">
        <f t="shared" si="5"/>
        <v>1276215.0644842123</v>
      </c>
      <c r="D55" s="56">
        <f t="shared" si="6"/>
        <v>6395.2185840332877</v>
      </c>
      <c r="E55" s="15">
        <f t="shared" si="7"/>
        <v>4519.928353381586</v>
      </c>
      <c r="F55" s="56">
        <f t="shared" si="8"/>
        <v>1875.2902306517017</v>
      </c>
      <c r="G55" s="56">
        <f t="shared" si="9"/>
        <v>1274339.7742535607</v>
      </c>
      <c r="H55" s="3">
        <f t="shared" si="10"/>
        <v>5700</v>
      </c>
      <c r="I55" s="15">
        <f t="shared" si="11"/>
        <v>833.33333333333337</v>
      </c>
      <c r="J55" s="56">
        <f t="shared" si="12"/>
        <v>-1528.5519173666207</v>
      </c>
      <c r="K55" s="13">
        <f t="shared" si="13"/>
        <v>-21399.726843132696</v>
      </c>
      <c r="N55" s="64"/>
      <c r="O55" s="65"/>
      <c r="P55" s="65"/>
      <c r="Q55" s="65"/>
      <c r="R55" s="65"/>
      <c r="S55" s="65"/>
      <c r="T55" s="65"/>
      <c r="U55" s="65"/>
      <c r="V55" s="66"/>
    </row>
    <row r="56" spans="1:22" ht="22.05" customHeight="1" outlineLevel="1" x14ac:dyDescent="0.25">
      <c r="A56" s="55">
        <f t="shared" si="3"/>
        <v>15</v>
      </c>
      <c r="B56" s="55">
        <f t="shared" si="4"/>
        <v>2</v>
      </c>
      <c r="C56" s="56">
        <f t="shared" si="5"/>
        <v>1274339.7742535607</v>
      </c>
      <c r="D56" s="56">
        <f t="shared" si="6"/>
        <v>6395.2185840332877</v>
      </c>
      <c r="E56" s="15">
        <f t="shared" si="7"/>
        <v>4513.2867004813606</v>
      </c>
      <c r="F56" s="56">
        <f t="shared" si="8"/>
        <v>1881.9318835519271</v>
      </c>
      <c r="G56" s="56">
        <f t="shared" si="9"/>
        <v>1272457.8423700088</v>
      </c>
      <c r="H56" s="3">
        <f t="shared" si="10"/>
        <v>5700</v>
      </c>
      <c r="I56" s="15">
        <f t="shared" si="11"/>
        <v>833.33333333333337</v>
      </c>
      <c r="J56" s="56">
        <f t="shared" si="12"/>
        <v>-1528.5519173666207</v>
      </c>
      <c r="K56" s="13">
        <f t="shared" si="13"/>
        <v>-22928.278760499317</v>
      </c>
      <c r="N56" s="67" t="s">
        <v>131</v>
      </c>
      <c r="O56" s="74" t="s">
        <v>136</v>
      </c>
      <c r="P56" s="65"/>
      <c r="Q56" s="65"/>
      <c r="R56" s="68">
        <f>C9+(C14+C25+C22+C23)+U14+IF(P25&lt;0,-P25*U6,0)</f>
        <v>1348912.5</v>
      </c>
      <c r="S56" s="65"/>
      <c r="T56" s="65"/>
      <c r="U56" s="65"/>
      <c r="V56" s="66"/>
    </row>
    <row r="57" spans="1:22" ht="22.05" customHeight="1" outlineLevel="1" x14ac:dyDescent="0.25">
      <c r="A57" s="55">
        <f t="shared" si="3"/>
        <v>16</v>
      </c>
      <c r="B57" s="55">
        <f t="shared" si="4"/>
        <v>2</v>
      </c>
      <c r="C57" s="56">
        <f t="shared" si="5"/>
        <v>1272457.8423700088</v>
      </c>
      <c r="D57" s="56">
        <f t="shared" si="6"/>
        <v>6395.2185840332877</v>
      </c>
      <c r="E57" s="15">
        <f t="shared" si="7"/>
        <v>4506.6215250604482</v>
      </c>
      <c r="F57" s="56">
        <f t="shared" si="8"/>
        <v>1888.5970589728395</v>
      </c>
      <c r="G57" s="56">
        <f t="shared" si="9"/>
        <v>1270569.245311036</v>
      </c>
      <c r="H57" s="3">
        <f t="shared" si="10"/>
        <v>5700</v>
      </c>
      <c r="I57" s="15">
        <f t="shared" si="11"/>
        <v>833.33333333333337</v>
      </c>
      <c r="J57" s="56">
        <f t="shared" si="12"/>
        <v>-1528.5519173666207</v>
      </c>
      <c r="K57" s="13">
        <f t="shared" si="13"/>
        <v>-24456.830677865939</v>
      </c>
      <c r="N57" s="67" t="s">
        <v>15</v>
      </c>
      <c r="O57" s="65"/>
      <c r="P57" s="65"/>
      <c r="Q57" s="65"/>
      <c r="R57" s="68">
        <f>U21</f>
        <v>0</v>
      </c>
      <c r="S57" s="65"/>
      <c r="T57" s="65"/>
      <c r="U57" s="65"/>
      <c r="V57" s="66"/>
    </row>
    <row r="58" spans="1:22" ht="22.05" customHeight="1" outlineLevel="1" thickBot="1" x14ac:dyDescent="0.3">
      <c r="A58" s="55">
        <f t="shared" si="3"/>
        <v>17</v>
      </c>
      <c r="B58" s="55">
        <f t="shared" si="4"/>
        <v>2</v>
      </c>
      <c r="C58" s="56">
        <f t="shared" si="5"/>
        <v>1270569.245311036</v>
      </c>
      <c r="D58" s="56">
        <f t="shared" si="6"/>
        <v>6395.2185840332877</v>
      </c>
      <c r="E58" s="15">
        <f t="shared" si="7"/>
        <v>4499.9327438099199</v>
      </c>
      <c r="F58" s="56">
        <f t="shared" si="8"/>
        <v>1895.2858402233678</v>
      </c>
      <c r="G58" s="56">
        <f t="shared" si="9"/>
        <v>1268673.9594708127</v>
      </c>
      <c r="H58" s="3">
        <f t="shared" si="10"/>
        <v>5700</v>
      </c>
      <c r="I58" s="15">
        <f t="shared" si="11"/>
        <v>833.33333333333337</v>
      </c>
      <c r="J58" s="56">
        <f t="shared" si="12"/>
        <v>-1528.5519173666207</v>
      </c>
      <c r="K58" s="13">
        <f t="shared" si="13"/>
        <v>-25985.382595232561</v>
      </c>
      <c r="N58" s="70" t="s">
        <v>138</v>
      </c>
      <c r="O58" s="75" t="s">
        <v>139</v>
      </c>
      <c r="P58" s="71"/>
      <c r="Q58" s="71"/>
      <c r="R58" s="76">
        <f>P25*U6</f>
        <v>0</v>
      </c>
      <c r="S58" s="71"/>
      <c r="T58" s="71"/>
      <c r="U58" s="71"/>
      <c r="V58" s="73"/>
    </row>
    <row r="59" spans="1:22" ht="22.05" customHeight="1" outlineLevel="1" x14ac:dyDescent="0.25">
      <c r="A59" s="55">
        <f t="shared" si="3"/>
        <v>18</v>
      </c>
      <c r="B59" s="55">
        <f t="shared" si="4"/>
        <v>2</v>
      </c>
      <c r="C59" s="56">
        <f t="shared" si="5"/>
        <v>1268673.9594708127</v>
      </c>
      <c r="D59" s="56">
        <f t="shared" si="6"/>
        <v>6395.2185840332877</v>
      </c>
      <c r="E59" s="15">
        <f t="shared" si="7"/>
        <v>4493.2202731257958</v>
      </c>
      <c r="F59" s="56">
        <f t="shared" si="8"/>
        <v>1901.9983109074919</v>
      </c>
      <c r="G59" s="56">
        <f t="shared" si="9"/>
        <v>1266771.9611599052</v>
      </c>
      <c r="H59" s="3">
        <f t="shared" si="10"/>
        <v>5700</v>
      </c>
      <c r="I59" s="15">
        <f t="shared" si="11"/>
        <v>833.33333333333337</v>
      </c>
      <c r="J59" s="56">
        <f t="shared" si="12"/>
        <v>-1528.5519173666207</v>
      </c>
      <c r="K59" s="13">
        <f t="shared" si="13"/>
        <v>-27513.934512599182</v>
      </c>
      <c r="N59" s="64"/>
      <c r="O59" s="65"/>
      <c r="P59" s="65"/>
      <c r="Q59" s="65"/>
      <c r="R59" s="65"/>
      <c r="S59" s="65"/>
      <c r="T59" s="65"/>
      <c r="U59" s="65"/>
      <c r="V59" s="66"/>
    </row>
    <row r="60" spans="1:22" ht="22.05" customHeight="1" outlineLevel="1" x14ac:dyDescent="0.3">
      <c r="A60" s="55">
        <f t="shared" si="3"/>
        <v>19</v>
      </c>
      <c r="B60" s="55">
        <f t="shared" si="4"/>
        <v>2</v>
      </c>
      <c r="C60" s="56">
        <f t="shared" si="5"/>
        <v>1266771.9611599052</v>
      </c>
      <c r="D60" s="56">
        <f t="shared" si="6"/>
        <v>6395.2185840332877</v>
      </c>
      <c r="E60" s="15">
        <f t="shared" si="7"/>
        <v>4486.4840291079981</v>
      </c>
      <c r="F60" s="56">
        <f t="shared" si="8"/>
        <v>1908.7345549252896</v>
      </c>
      <c r="G60" s="56">
        <f t="shared" si="9"/>
        <v>1264863.22660498</v>
      </c>
      <c r="H60" s="3">
        <f t="shared" si="10"/>
        <v>5700</v>
      </c>
      <c r="I60" s="15">
        <f t="shared" si="11"/>
        <v>833.33333333333337</v>
      </c>
      <c r="J60" s="56">
        <f t="shared" si="12"/>
        <v>-1528.5519173666207</v>
      </c>
      <c r="K60" s="13">
        <f t="shared" si="13"/>
        <v>-29042.486429965804</v>
      </c>
      <c r="N60" s="77" t="s">
        <v>132</v>
      </c>
      <c r="O60" s="65"/>
      <c r="P60" s="65"/>
      <c r="Q60" s="65"/>
      <c r="R60" s="78">
        <f>U8-R56-U21</f>
        <v>-148912.5</v>
      </c>
      <c r="S60" s="65"/>
      <c r="T60" s="65"/>
      <c r="U60" s="65"/>
      <c r="V60" s="66"/>
    </row>
    <row r="61" spans="1:22" ht="22.05" customHeight="1" outlineLevel="1" x14ac:dyDescent="0.25">
      <c r="A61" s="55">
        <f t="shared" si="3"/>
        <v>20</v>
      </c>
      <c r="B61" s="55">
        <f t="shared" si="4"/>
        <v>2</v>
      </c>
      <c r="C61" s="56">
        <f t="shared" si="5"/>
        <v>1264863.22660498</v>
      </c>
      <c r="D61" s="56">
        <f t="shared" si="6"/>
        <v>6395.2185840332877</v>
      </c>
      <c r="E61" s="15">
        <f t="shared" si="7"/>
        <v>4479.7239275593047</v>
      </c>
      <c r="F61" s="56">
        <f t="shared" si="8"/>
        <v>1915.494656473983</v>
      </c>
      <c r="G61" s="56">
        <f t="shared" si="9"/>
        <v>1262947.7319485059</v>
      </c>
      <c r="H61" s="3">
        <f t="shared" si="10"/>
        <v>5700</v>
      </c>
      <c r="I61" s="15">
        <f t="shared" si="11"/>
        <v>833.33333333333337</v>
      </c>
      <c r="J61" s="56">
        <f t="shared" si="12"/>
        <v>-1528.5519173666207</v>
      </c>
      <c r="K61" s="13">
        <f t="shared" si="13"/>
        <v>-30571.038347332425</v>
      </c>
      <c r="N61" s="67" t="s">
        <v>133</v>
      </c>
      <c r="O61" s="74" t="s">
        <v>140</v>
      </c>
      <c r="P61" s="65"/>
      <c r="Q61" s="65"/>
      <c r="R61" s="79">
        <f>R60/R56</f>
        <v>-0.11039448444580356</v>
      </c>
      <c r="S61" s="65"/>
      <c r="T61" s="65"/>
      <c r="U61" s="65"/>
      <c r="V61" s="66"/>
    </row>
    <row r="62" spans="1:22" ht="22.05" customHeight="1" outlineLevel="1" thickBot="1" x14ac:dyDescent="0.3">
      <c r="A62" s="55">
        <f t="shared" si="3"/>
        <v>21</v>
      </c>
      <c r="B62" s="55">
        <f t="shared" si="4"/>
        <v>2</v>
      </c>
      <c r="C62" s="56">
        <f t="shared" si="5"/>
        <v>1262947.7319485059</v>
      </c>
      <c r="D62" s="56">
        <f t="shared" si="6"/>
        <v>6395.2185840332877</v>
      </c>
      <c r="E62" s="15">
        <f t="shared" si="7"/>
        <v>4472.9398839842916</v>
      </c>
      <c r="F62" s="56">
        <f t="shared" si="8"/>
        <v>1922.2787000489961</v>
      </c>
      <c r="G62" s="56">
        <f t="shared" si="9"/>
        <v>1261025.4532484568</v>
      </c>
      <c r="H62" s="3">
        <f t="shared" si="10"/>
        <v>5700</v>
      </c>
      <c r="I62" s="15">
        <f t="shared" si="11"/>
        <v>833.33333333333337</v>
      </c>
      <c r="J62" s="56">
        <f t="shared" si="12"/>
        <v>-1528.5519173666207</v>
      </c>
      <c r="K62" s="13">
        <f t="shared" si="13"/>
        <v>-32099.590264699047</v>
      </c>
      <c r="N62" s="80" t="s">
        <v>134</v>
      </c>
      <c r="O62" s="81" t="s">
        <v>135</v>
      </c>
      <c r="P62" s="82"/>
      <c r="Q62" s="82"/>
      <c r="R62" s="83">
        <f>(1+R61)^(1/U6)-1</f>
        <v>-1.1629563272970711E-2</v>
      </c>
      <c r="S62" s="82"/>
      <c r="T62" s="82"/>
      <c r="U62" s="82"/>
      <c r="V62" s="84"/>
    </row>
    <row r="63" spans="1:22" ht="22.05" customHeight="1" outlineLevel="1" thickTop="1" x14ac:dyDescent="0.25">
      <c r="A63" s="55">
        <f t="shared" si="3"/>
        <v>22</v>
      </c>
      <c r="B63" s="55">
        <f t="shared" si="4"/>
        <v>2</v>
      </c>
      <c r="C63" s="56">
        <f t="shared" si="5"/>
        <v>1261025.4532484568</v>
      </c>
      <c r="D63" s="56">
        <f t="shared" si="6"/>
        <v>6395.2185840332877</v>
      </c>
      <c r="E63" s="15">
        <f t="shared" si="7"/>
        <v>4466.1318135882848</v>
      </c>
      <c r="F63" s="56">
        <f t="shared" si="8"/>
        <v>1929.0867704450029</v>
      </c>
      <c r="G63" s="56">
        <f t="shared" si="9"/>
        <v>1259096.3664780117</v>
      </c>
      <c r="H63" s="3">
        <f t="shared" si="10"/>
        <v>5700</v>
      </c>
      <c r="I63" s="15">
        <f t="shared" si="11"/>
        <v>833.33333333333337</v>
      </c>
      <c r="J63" s="56">
        <f t="shared" si="12"/>
        <v>-1528.5519173666207</v>
      </c>
      <c r="K63" s="13">
        <f t="shared" si="13"/>
        <v>-33628.142182065669</v>
      </c>
    </row>
    <row r="64" spans="1:22" ht="22.05" customHeight="1" outlineLevel="1" x14ac:dyDescent="0.25">
      <c r="A64" s="55">
        <f t="shared" si="3"/>
        <v>23</v>
      </c>
      <c r="B64" s="55">
        <f t="shared" si="4"/>
        <v>2</v>
      </c>
      <c r="C64" s="56">
        <f t="shared" si="5"/>
        <v>1259096.3664780117</v>
      </c>
      <c r="D64" s="56">
        <f t="shared" si="6"/>
        <v>6395.2185840332877</v>
      </c>
      <c r="E64" s="15">
        <f t="shared" si="7"/>
        <v>4459.2996312762916</v>
      </c>
      <c r="F64" s="56">
        <f t="shared" si="8"/>
        <v>1935.9189527569961</v>
      </c>
      <c r="G64" s="56">
        <f t="shared" si="9"/>
        <v>1257160.4475252547</v>
      </c>
      <c r="H64" s="3">
        <f t="shared" si="10"/>
        <v>5700</v>
      </c>
      <c r="I64" s="15">
        <f t="shared" si="11"/>
        <v>833.33333333333337</v>
      </c>
      <c r="J64" s="56">
        <f t="shared" si="12"/>
        <v>-1528.5519173666207</v>
      </c>
      <c r="K64" s="13">
        <f t="shared" si="13"/>
        <v>-35156.694099432287</v>
      </c>
    </row>
    <row r="65" spans="1:11" ht="22.05" customHeight="1" outlineLevel="1" x14ac:dyDescent="0.25">
      <c r="A65" s="55">
        <f t="shared" si="3"/>
        <v>24</v>
      </c>
      <c r="B65" s="55">
        <f t="shared" si="4"/>
        <v>2</v>
      </c>
      <c r="C65" s="56">
        <f t="shared" si="5"/>
        <v>1257160.4475252547</v>
      </c>
      <c r="D65" s="56">
        <f t="shared" si="6"/>
        <v>6395.2185840332877</v>
      </c>
      <c r="E65" s="15">
        <f t="shared" si="7"/>
        <v>4452.4432516519437</v>
      </c>
      <c r="F65" s="56">
        <f t="shared" si="8"/>
        <v>1942.775332381344</v>
      </c>
      <c r="G65" s="56">
        <f t="shared" si="9"/>
        <v>1255217.6721928734</v>
      </c>
      <c r="H65" s="3">
        <f t="shared" si="10"/>
        <v>5700</v>
      </c>
      <c r="I65" s="15">
        <f t="shared" si="11"/>
        <v>833.33333333333337</v>
      </c>
      <c r="J65" s="56">
        <f t="shared" si="12"/>
        <v>-1528.5519173666207</v>
      </c>
      <c r="K65" s="13">
        <f t="shared" si="13"/>
        <v>-36685.246016798905</v>
      </c>
    </row>
    <row r="66" spans="1:11" ht="22.05" customHeight="1" outlineLevel="1" x14ac:dyDescent="0.25">
      <c r="A66" s="55">
        <f t="shared" si="3"/>
        <v>25</v>
      </c>
      <c r="B66" s="55">
        <f t="shared" si="4"/>
        <v>3</v>
      </c>
      <c r="C66" s="56">
        <f t="shared" si="5"/>
        <v>1255217.6721928734</v>
      </c>
      <c r="D66" s="56">
        <f t="shared" si="6"/>
        <v>6395.2185840332877</v>
      </c>
      <c r="E66" s="15">
        <f t="shared" si="7"/>
        <v>4445.5625890164274</v>
      </c>
      <c r="F66" s="56">
        <f t="shared" si="8"/>
        <v>1949.6559950168603</v>
      </c>
      <c r="G66" s="56">
        <f t="shared" si="9"/>
        <v>1253268.0161978565</v>
      </c>
      <c r="H66" s="3">
        <f t="shared" si="10"/>
        <v>5700</v>
      </c>
      <c r="I66" s="15">
        <f t="shared" si="11"/>
        <v>833.33333333333337</v>
      </c>
      <c r="J66" s="56">
        <f t="shared" si="12"/>
        <v>-1528.5519173666207</v>
      </c>
      <c r="K66" s="13">
        <f t="shared" si="13"/>
        <v>-38213.797934165523</v>
      </c>
    </row>
    <row r="67" spans="1:11" ht="22.05" customHeight="1" outlineLevel="1" x14ac:dyDescent="0.25">
      <c r="A67" s="55">
        <f t="shared" si="3"/>
        <v>26</v>
      </c>
      <c r="B67" s="55">
        <f t="shared" si="4"/>
        <v>3</v>
      </c>
      <c r="C67" s="56">
        <f t="shared" si="5"/>
        <v>1253268.0161978565</v>
      </c>
      <c r="D67" s="56">
        <f t="shared" si="6"/>
        <v>6395.2185840332877</v>
      </c>
      <c r="E67" s="15">
        <f t="shared" si="7"/>
        <v>4438.657557367409</v>
      </c>
      <c r="F67" s="56">
        <f t="shared" si="8"/>
        <v>1956.5610266658787</v>
      </c>
      <c r="G67" s="56">
        <f t="shared" si="9"/>
        <v>1251311.4551711907</v>
      </c>
      <c r="H67" s="3">
        <f t="shared" si="10"/>
        <v>5700</v>
      </c>
      <c r="I67" s="15">
        <f t="shared" si="11"/>
        <v>833.33333333333337</v>
      </c>
      <c r="J67" s="56">
        <f t="shared" si="12"/>
        <v>-1528.5519173666207</v>
      </c>
      <c r="K67" s="13">
        <f t="shared" si="13"/>
        <v>-39742.349851532141</v>
      </c>
    </row>
    <row r="68" spans="1:11" ht="22.05" customHeight="1" outlineLevel="1" x14ac:dyDescent="0.25">
      <c r="A68" s="55">
        <f t="shared" si="3"/>
        <v>27</v>
      </c>
      <c r="B68" s="55">
        <f t="shared" si="4"/>
        <v>3</v>
      </c>
      <c r="C68" s="56">
        <f t="shared" si="5"/>
        <v>1251311.4551711907</v>
      </c>
      <c r="D68" s="56">
        <f t="shared" si="6"/>
        <v>6395.2185840332877</v>
      </c>
      <c r="E68" s="15">
        <f t="shared" si="7"/>
        <v>4431.7280703979677</v>
      </c>
      <c r="F68" s="56">
        <f t="shared" si="8"/>
        <v>1963.49051363532</v>
      </c>
      <c r="G68" s="56">
        <f t="shared" si="9"/>
        <v>1249347.9646575553</v>
      </c>
      <c r="H68" s="3">
        <f t="shared" si="10"/>
        <v>5700</v>
      </c>
      <c r="I68" s="15">
        <f t="shared" si="11"/>
        <v>833.33333333333337</v>
      </c>
      <c r="J68" s="56">
        <f t="shared" si="12"/>
        <v>-1528.5519173666207</v>
      </c>
      <c r="K68" s="13">
        <f t="shared" si="13"/>
        <v>-41270.901768898759</v>
      </c>
    </row>
    <row r="69" spans="1:11" ht="22.05" customHeight="1" outlineLevel="1" x14ac:dyDescent="0.25">
      <c r="A69" s="55">
        <f t="shared" si="3"/>
        <v>28</v>
      </c>
      <c r="B69" s="55">
        <f t="shared" si="4"/>
        <v>3</v>
      </c>
      <c r="C69" s="56">
        <f t="shared" si="5"/>
        <v>1249347.9646575553</v>
      </c>
      <c r="D69" s="56">
        <f t="shared" si="6"/>
        <v>6395.2185840332877</v>
      </c>
      <c r="E69" s="15">
        <f t="shared" si="7"/>
        <v>4424.7740414955088</v>
      </c>
      <c r="F69" s="56">
        <f t="shared" si="8"/>
        <v>1970.4445425377789</v>
      </c>
      <c r="G69" s="56">
        <f t="shared" si="9"/>
        <v>1247377.5201150177</v>
      </c>
      <c r="H69" s="3">
        <f t="shared" si="10"/>
        <v>5700</v>
      </c>
      <c r="I69" s="15">
        <f t="shared" si="11"/>
        <v>833.33333333333337</v>
      </c>
      <c r="J69" s="56">
        <f t="shared" si="12"/>
        <v>-1528.5519173666207</v>
      </c>
      <c r="K69" s="13">
        <f t="shared" si="13"/>
        <v>-42799.453686265377</v>
      </c>
    </row>
    <row r="70" spans="1:11" ht="22.05" customHeight="1" outlineLevel="1" x14ac:dyDescent="0.25">
      <c r="A70" s="55">
        <f t="shared" si="3"/>
        <v>29</v>
      </c>
      <c r="B70" s="55">
        <f t="shared" si="4"/>
        <v>3</v>
      </c>
      <c r="C70" s="56">
        <f t="shared" si="5"/>
        <v>1247377.5201150177</v>
      </c>
      <c r="D70" s="56">
        <f t="shared" si="6"/>
        <v>6395.2185840332877</v>
      </c>
      <c r="E70" s="15">
        <f t="shared" si="7"/>
        <v>4417.7953837406876</v>
      </c>
      <c r="F70" s="56">
        <f t="shared" si="8"/>
        <v>1977.4232002926001</v>
      </c>
      <c r="G70" s="56">
        <f t="shared" si="9"/>
        <v>1245400.0969147251</v>
      </c>
      <c r="H70" s="3">
        <f t="shared" si="10"/>
        <v>5700</v>
      </c>
      <c r="I70" s="15">
        <f t="shared" si="11"/>
        <v>833.33333333333337</v>
      </c>
      <c r="J70" s="56">
        <f t="shared" si="12"/>
        <v>-1528.5519173666207</v>
      </c>
      <c r="K70" s="13">
        <f t="shared" si="13"/>
        <v>-44328.005603631995</v>
      </c>
    </row>
    <row r="71" spans="1:11" ht="22.05" customHeight="1" outlineLevel="1" x14ac:dyDescent="0.25">
      <c r="A71" s="55">
        <f t="shared" si="3"/>
        <v>30</v>
      </c>
      <c r="B71" s="55">
        <f t="shared" si="4"/>
        <v>3</v>
      </c>
      <c r="C71" s="56">
        <f t="shared" si="5"/>
        <v>1245400.0969147251</v>
      </c>
      <c r="D71" s="56">
        <f t="shared" si="6"/>
        <v>6395.2185840332877</v>
      </c>
      <c r="E71" s="15">
        <f t="shared" si="7"/>
        <v>4410.7920099063185</v>
      </c>
      <c r="F71" s="56">
        <f t="shared" si="8"/>
        <v>1984.4265741269692</v>
      </c>
      <c r="G71" s="56">
        <f t="shared" si="9"/>
        <v>1243415.6703405981</v>
      </c>
      <c r="H71" s="3">
        <f t="shared" si="10"/>
        <v>5700</v>
      </c>
      <c r="I71" s="15">
        <f t="shared" si="11"/>
        <v>833.33333333333337</v>
      </c>
      <c r="J71" s="56">
        <f t="shared" si="12"/>
        <v>-1528.5519173666207</v>
      </c>
      <c r="K71" s="13">
        <f t="shared" si="13"/>
        <v>-45856.557520998613</v>
      </c>
    </row>
    <row r="72" spans="1:11" ht="22.05" customHeight="1" outlineLevel="1" x14ac:dyDescent="0.25">
      <c r="A72" s="55">
        <f t="shared" si="3"/>
        <v>31</v>
      </c>
      <c r="B72" s="55">
        <f t="shared" si="4"/>
        <v>3</v>
      </c>
      <c r="C72" s="56">
        <f t="shared" si="5"/>
        <v>1243415.6703405981</v>
      </c>
      <c r="D72" s="56">
        <f t="shared" si="6"/>
        <v>6395.2185840332877</v>
      </c>
      <c r="E72" s="15">
        <f t="shared" si="7"/>
        <v>4403.7638324562849</v>
      </c>
      <c r="F72" s="56">
        <f t="shared" si="8"/>
        <v>1991.4547515770028</v>
      </c>
      <c r="G72" s="56">
        <f t="shared" si="9"/>
        <v>1241424.2155890211</v>
      </c>
      <c r="H72" s="3">
        <f t="shared" si="10"/>
        <v>5700</v>
      </c>
      <c r="I72" s="15">
        <f t="shared" si="11"/>
        <v>833.33333333333337</v>
      </c>
      <c r="J72" s="56">
        <f t="shared" si="12"/>
        <v>-1528.5519173666207</v>
      </c>
      <c r="K72" s="13">
        <f t="shared" si="13"/>
        <v>-47385.109438365231</v>
      </c>
    </row>
    <row r="73" spans="1:11" ht="22.05" customHeight="1" outlineLevel="1" x14ac:dyDescent="0.25">
      <c r="A73" s="55">
        <f t="shared" si="3"/>
        <v>32</v>
      </c>
      <c r="B73" s="55">
        <f t="shared" si="4"/>
        <v>3</v>
      </c>
      <c r="C73" s="56">
        <f t="shared" si="5"/>
        <v>1241424.2155890211</v>
      </c>
      <c r="D73" s="56">
        <f t="shared" si="6"/>
        <v>6395.2185840332877</v>
      </c>
      <c r="E73" s="15">
        <f t="shared" si="7"/>
        <v>4396.7107635444499</v>
      </c>
      <c r="F73" s="56">
        <f t="shared" si="8"/>
        <v>1998.5078204888378</v>
      </c>
      <c r="G73" s="56">
        <f t="shared" si="9"/>
        <v>1239425.7077685322</v>
      </c>
      <c r="H73" s="3">
        <f t="shared" si="10"/>
        <v>5700</v>
      </c>
      <c r="I73" s="15">
        <f t="shared" si="11"/>
        <v>833.33333333333337</v>
      </c>
      <c r="J73" s="56">
        <f t="shared" si="12"/>
        <v>-1528.5519173666207</v>
      </c>
      <c r="K73" s="13">
        <f t="shared" si="13"/>
        <v>-48913.661355731849</v>
      </c>
    </row>
    <row r="74" spans="1:11" ht="22.05" customHeight="1" outlineLevel="1" x14ac:dyDescent="0.25">
      <c r="A74" s="55">
        <f t="shared" si="3"/>
        <v>33</v>
      </c>
      <c r="B74" s="55">
        <f t="shared" si="4"/>
        <v>3</v>
      </c>
      <c r="C74" s="56">
        <f t="shared" si="5"/>
        <v>1239425.7077685322</v>
      </c>
      <c r="D74" s="56">
        <f t="shared" si="6"/>
        <v>6395.2185840332877</v>
      </c>
      <c r="E74" s="15">
        <f t="shared" si="7"/>
        <v>4389.6327150135521</v>
      </c>
      <c r="F74" s="56">
        <f t="shared" si="8"/>
        <v>2005.5858690197356</v>
      </c>
      <c r="G74" s="56">
        <f t="shared" si="9"/>
        <v>1237420.1218995124</v>
      </c>
      <c r="H74" s="3">
        <f t="shared" si="10"/>
        <v>5700</v>
      </c>
      <c r="I74" s="15">
        <f t="shared" si="11"/>
        <v>833.33333333333337</v>
      </c>
      <c r="J74" s="56">
        <f t="shared" si="12"/>
        <v>-1528.5519173666207</v>
      </c>
      <c r="K74" s="13">
        <f t="shared" si="13"/>
        <v>-50442.213273098467</v>
      </c>
    </row>
    <row r="75" spans="1:11" ht="22.05" customHeight="1" outlineLevel="1" x14ac:dyDescent="0.25">
      <c r="A75" s="55">
        <f t="shared" si="3"/>
        <v>34</v>
      </c>
      <c r="B75" s="55">
        <f t="shared" si="4"/>
        <v>3</v>
      </c>
      <c r="C75" s="56">
        <f t="shared" si="5"/>
        <v>1237420.1218995124</v>
      </c>
      <c r="D75" s="56">
        <f t="shared" si="6"/>
        <v>6395.2185840332877</v>
      </c>
      <c r="E75" s="15">
        <f t="shared" si="7"/>
        <v>4382.5295983941069</v>
      </c>
      <c r="F75" s="56">
        <f t="shared" si="8"/>
        <v>2012.6889856391808</v>
      </c>
      <c r="G75" s="56">
        <f t="shared" si="9"/>
        <v>1235407.4329138731</v>
      </c>
      <c r="H75" s="3">
        <f t="shared" si="10"/>
        <v>5700</v>
      </c>
      <c r="I75" s="15">
        <f t="shared" si="11"/>
        <v>833.33333333333337</v>
      </c>
      <c r="J75" s="56">
        <f t="shared" si="12"/>
        <v>-1528.5519173666207</v>
      </c>
      <c r="K75" s="13">
        <f t="shared" si="13"/>
        <v>-51970.765190465085</v>
      </c>
    </row>
    <row r="76" spans="1:11" ht="22.05" customHeight="1" outlineLevel="1" x14ac:dyDescent="0.25">
      <c r="A76" s="55">
        <f t="shared" si="3"/>
        <v>35</v>
      </c>
      <c r="B76" s="55">
        <f t="shared" si="4"/>
        <v>3</v>
      </c>
      <c r="C76" s="56">
        <f t="shared" si="5"/>
        <v>1235407.4329138731</v>
      </c>
      <c r="D76" s="56">
        <f t="shared" si="6"/>
        <v>6395.2185840332877</v>
      </c>
      <c r="E76" s="15">
        <f t="shared" si="7"/>
        <v>4375.4013249033005</v>
      </c>
      <c r="F76" s="56">
        <f t="shared" si="8"/>
        <v>2019.8172591299872</v>
      </c>
      <c r="G76" s="56">
        <f t="shared" si="9"/>
        <v>1233387.615654743</v>
      </c>
      <c r="H76" s="3">
        <f t="shared" si="10"/>
        <v>5700</v>
      </c>
      <c r="I76" s="15">
        <f t="shared" si="11"/>
        <v>833.33333333333337</v>
      </c>
      <c r="J76" s="56">
        <f t="shared" si="12"/>
        <v>-1528.5519173666207</v>
      </c>
      <c r="K76" s="13">
        <f t="shared" si="13"/>
        <v>-53499.317107831703</v>
      </c>
    </row>
    <row r="77" spans="1:11" ht="22.05" customHeight="1" outlineLevel="1" x14ac:dyDescent="0.25">
      <c r="A77" s="55">
        <f t="shared" si="3"/>
        <v>36</v>
      </c>
      <c r="B77" s="55">
        <f t="shared" si="4"/>
        <v>3</v>
      </c>
      <c r="C77" s="56">
        <f t="shared" si="5"/>
        <v>1233387.615654743</v>
      </c>
      <c r="D77" s="56">
        <f t="shared" si="6"/>
        <v>6395.2185840332877</v>
      </c>
      <c r="E77" s="15">
        <f t="shared" si="7"/>
        <v>4368.2478054438825</v>
      </c>
      <c r="F77" s="56">
        <f t="shared" si="8"/>
        <v>2026.9707785894052</v>
      </c>
      <c r="G77" s="56">
        <f t="shared" si="9"/>
        <v>1231360.6448761537</v>
      </c>
      <c r="H77" s="3">
        <f t="shared" si="10"/>
        <v>5700</v>
      </c>
      <c r="I77" s="15">
        <f t="shared" si="11"/>
        <v>833.33333333333337</v>
      </c>
      <c r="J77" s="56">
        <f t="shared" si="12"/>
        <v>-1528.5519173666207</v>
      </c>
      <c r="K77" s="13">
        <f t="shared" si="13"/>
        <v>-55027.869025198321</v>
      </c>
    </row>
    <row r="78" spans="1:11" ht="22.05" customHeight="1" outlineLevel="1" x14ac:dyDescent="0.25">
      <c r="A78" s="55">
        <f t="shared" si="3"/>
        <v>37</v>
      </c>
      <c r="B78" s="55">
        <f t="shared" si="4"/>
        <v>4</v>
      </c>
      <c r="C78" s="56">
        <f t="shared" si="5"/>
        <v>1231360.6448761537</v>
      </c>
      <c r="D78" s="56">
        <f t="shared" si="6"/>
        <v>6395.2185840332877</v>
      </c>
      <c r="E78" s="15">
        <f t="shared" si="7"/>
        <v>4361.0689506030449</v>
      </c>
      <c r="F78" s="56">
        <f t="shared" si="8"/>
        <v>2034.1496334302428</v>
      </c>
      <c r="G78" s="56">
        <f t="shared" si="9"/>
        <v>1229326.4952427235</v>
      </c>
      <c r="H78" s="3">
        <f t="shared" si="10"/>
        <v>5700</v>
      </c>
      <c r="I78" s="15">
        <f t="shared" si="11"/>
        <v>833.33333333333337</v>
      </c>
      <c r="J78" s="56">
        <f t="shared" si="12"/>
        <v>-1528.5519173666207</v>
      </c>
      <c r="K78" s="13">
        <f t="shared" si="13"/>
        <v>-56556.420942564939</v>
      </c>
    </row>
    <row r="79" spans="1:11" ht="22.05" customHeight="1" outlineLevel="1" x14ac:dyDescent="0.25">
      <c r="A79" s="55">
        <f t="shared" si="3"/>
        <v>38</v>
      </c>
      <c r="B79" s="55">
        <f t="shared" si="4"/>
        <v>4</v>
      </c>
      <c r="C79" s="56">
        <f t="shared" si="5"/>
        <v>1229326.4952427235</v>
      </c>
      <c r="D79" s="56">
        <f t="shared" si="6"/>
        <v>6395.2185840332877</v>
      </c>
      <c r="E79" s="15">
        <f t="shared" si="7"/>
        <v>4353.8646706513127</v>
      </c>
      <c r="F79" s="56">
        <f t="shared" si="8"/>
        <v>2041.353913381975</v>
      </c>
      <c r="G79" s="56">
        <f t="shared" si="9"/>
        <v>1227285.1413293416</v>
      </c>
      <c r="H79" s="3">
        <f t="shared" si="10"/>
        <v>5700</v>
      </c>
      <c r="I79" s="15">
        <f t="shared" si="11"/>
        <v>833.33333333333337</v>
      </c>
      <c r="J79" s="56">
        <f t="shared" si="12"/>
        <v>-1528.5519173666207</v>
      </c>
      <c r="K79" s="13">
        <f t="shared" si="13"/>
        <v>-58084.972859931557</v>
      </c>
    </row>
    <row r="80" spans="1:11" ht="22.05" customHeight="1" outlineLevel="1" x14ac:dyDescent="0.25">
      <c r="A80" s="55">
        <f t="shared" si="3"/>
        <v>39</v>
      </c>
      <c r="B80" s="55">
        <f t="shared" si="4"/>
        <v>4</v>
      </c>
      <c r="C80" s="56">
        <f t="shared" si="5"/>
        <v>1227285.1413293416</v>
      </c>
      <c r="D80" s="56">
        <f t="shared" si="6"/>
        <v>6395.2185840332877</v>
      </c>
      <c r="E80" s="15">
        <f t="shared" si="7"/>
        <v>4346.6348755414183</v>
      </c>
      <c r="F80" s="56">
        <f t="shared" si="8"/>
        <v>2048.5837084918694</v>
      </c>
      <c r="G80" s="56">
        <f t="shared" si="9"/>
        <v>1225236.5576208497</v>
      </c>
      <c r="H80" s="3">
        <f t="shared" si="10"/>
        <v>5700</v>
      </c>
      <c r="I80" s="15">
        <f t="shared" si="11"/>
        <v>833.33333333333337</v>
      </c>
      <c r="J80" s="56">
        <f t="shared" si="12"/>
        <v>-1528.5519173666207</v>
      </c>
      <c r="K80" s="13">
        <f t="shared" si="13"/>
        <v>-59613.524777298175</v>
      </c>
    </row>
    <row r="81" spans="1:11" ht="22.05" customHeight="1" outlineLevel="1" x14ac:dyDescent="0.25">
      <c r="A81" s="55">
        <f t="shared" si="3"/>
        <v>40</v>
      </c>
      <c r="B81" s="55">
        <f t="shared" si="4"/>
        <v>4</v>
      </c>
      <c r="C81" s="56">
        <f t="shared" si="5"/>
        <v>1225236.5576208497</v>
      </c>
      <c r="D81" s="56">
        <f t="shared" si="6"/>
        <v>6395.2185840332877</v>
      </c>
      <c r="E81" s="15">
        <f t="shared" si="7"/>
        <v>4339.3794749071758</v>
      </c>
      <c r="F81" s="56">
        <f t="shared" si="8"/>
        <v>2055.8391091261119</v>
      </c>
      <c r="G81" s="56">
        <f t="shared" si="9"/>
        <v>1223180.7185117237</v>
      </c>
      <c r="H81" s="3">
        <f t="shared" si="10"/>
        <v>5700</v>
      </c>
      <c r="I81" s="15">
        <f t="shared" si="11"/>
        <v>833.33333333333337</v>
      </c>
      <c r="J81" s="56">
        <f t="shared" si="12"/>
        <v>-1528.5519173666207</v>
      </c>
      <c r="K81" s="13">
        <f t="shared" si="13"/>
        <v>-61142.076694664793</v>
      </c>
    </row>
    <row r="82" spans="1:11" ht="22.05" customHeight="1" outlineLevel="1" x14ac:dyDescent="0.25">
      <c r="A82" s="55">
        <f t="shared" si="3"/>
        <v>41</v>
      </c>
      <c r="B82" s="55">
        <f t="shared" si="4"/>
        <v>4</v>
      </c>
      <c r="C82" s="56">
        <f t="shared" si="5"/>
        <v>1223180.7185117237</v>
      </c>
      <c r="D82" s="56">
        <f t="shared" si="6"/>
        <v>6395.2185840332877</v>
      </c>
      <c r="E82" s="15">
        <f t="shared" si="7"/>
        <v>4332.0983780623546</v>
      </c>
      <c r="F82" s="56">
        <f t="shared" si="8"/>
        <v>2063.1202059709331</v>
      </c>
      <c r="G82" s="56">
        <f t="shared" si="9"/>
        <v>1221117.5983057527</v>
      </c>
      <c r="H82" s="3">
        <f t="shared" si="10"/>
        <v>5700</v>
      </c>
      <c r="I82" s="15">
        <f t="shared" si="11"/>
        <v>833.33333333333337</v>
      </c>
      <c r="J82" s="56">
        <f t="shared" si="12"/>
        <v>-1528.5519173666207</v>
      </c>
      <c r="K82" s="13">
        <f t="shared" si="13"/>
        <v>-62670.628612031411</v>
      </c>
    </row>
    <row r="83" spans="1:11" ht="22.05" customHeight="1" outlineLevel="1" x14ac:dyDescent="0.25">
      <c r="A83" s="55">
        <f t="shared" si="3"/>
        <v>42</v>
      </c>
      <c r="B83" s="55">
        <f t="shared" si="4"/>
        <v>4</v>
      </c>
      <c r="C83" s="56">
        <f t="shared" si="5"/>
        <v>1221117.5983057527</v>
      </c>
      <c r="D83" s="56">
        <f t="shared" si="6"/>
        <v>6395.2185840332877</v>
      </c>
      <c r="E83" s="15">
        <f t="shared" si="7"/>
        <v>4324.7914939995417</v>
      </c>
      <c r="F83" s="56">
        <f t="shared" si="8"/>
        <v>2070.427090033746</v>
      </c>
      <c r="G83" s="56">
        <f t="shared" si="9"/>
        <v>1219047.1712157191</v>
      </c>
      <c r="H83" s="3">
        <f t="shared" si="10"/>
        <v>5700</v>
      </c>
      <c r="I83" s="15">
        <f t="shared" si="11"/>
        <v>833.33333333333337</v>
      </c>
      <c r="J83" s="56">
        <f t="shared" si="12"/>
        <v>-1528.5519173666207</v>
      </c>
      <c r="K83" s="13">
        <f t="shared" si="13"/>
        <v>-64199.180529398029</v>
      </c>
    </row>
    <row r="84" spans="1:11" ht="22.05" customHeight="1" outlineLevel="1" x14ac:dyDescent="0.25">
      <c r="A84" s="55">
        <f t="shared" si="3"/>
        <v>43</v>
      </c>
      <c r="B84" s="55">
        <f t="shared" si="4"/>
        <v>4</v>
      </c>
      <c r="C84" s="56">
        <f t="shared" si="5"/>
        <v>1219047.1712157191</v>
      </c>
      <c r="D84" s="56">
        <f t="shared" si="6"/>
        <v>6395.2185840332877</v>
      </c>
      <c r="E84" s="15">
        <f t="shared" si="7"/>
        <v>4317.4587313890052</v>
      </c>
      <c r="F84" s="56">
        <f t="shared" si="8"/>
        <v>2077.7598526442825</v>
      </c>
      <c r="G84" s="56">
        <f t="shared" si="9"/>
        <v>1216969.4113630748</v>
      </c>
      <c r="H84" s="3">
        <f t="shared" si="10"/>
        <v>5700</v>
      </c>
      <c r="I84" s="15">
        <f t="shared" si="11"/>
        <v>833.33333333333337</v>
      </c>
      <c r="J84" s="56">
        <f t="shared" si="12"/>
        <v>-1528.5519173666207</v>
      </c>
      <c r="K84" s="13">
        <f t="shared" si="13"/>
        <v>-65727.732446764654</v>
      </c>
    </row>
    <row r="85" spans="1:11" ht="22.05" customHeight="1" outlineLevel="1" x14ac:dyDescent="0.25">
      <c r="A85" s="55">
        <f t="shared" si="3"/>
        <v>44</v>
      </c>
      <c r="B85" s="55">
        <f t="shared" si="4"/>
        <v>4</v>
      </c>
      <c r="C85" s="56">
        <f t="shared" si="5"/>
        <v>1216969.4113630748</v>
      </c>
      <c r="D85" s="56">
        <f t="shared" si="6"/>
        <v>6395.2185840332877</v>
      </c>
      <c r="E85" s="15">
        <f t="shared" si="7"/>
        <v>4310.099998577557</v>
      </c>
      <c r="F85" s="56">
        <f t="shared" si="8"/>
        <v>2085.1185854557307</v>
      </c>
      <c r="G85" s="56">
        <f t="shared" si="9"/>
        <v>1214884.2927776191</v>
      </c>
      <c r="H85" s="3">
        <f t="shared" si="10"/>
        <v>5700</v>
      </c>
      <c r="I85" s="15">
        <f t="shared" si="11"/>
        <v>833.33333333333337</v>
      </c>
      <c r="J85" s="56">
        <f t="shared" si="12"/>
        <v>-1528.5519173666207</v>
      </c>
      <c r="K85" s="13">
        <f t="shared" si="13"/>
        <v>-67256.284364131279</v>
      </c>
    </row>
    <row r="86" spans="1:11" ht="22.05" customHeight="1" outlineLevel="1" x14ac:dyDescent="0.25">
      <c r="A86" s="55">
        <f t="shared" si="3"/>
        <v>45</v>
      </c>
      <c r="B86" s="55">
        <f t="shared" si="4"/>
        <v>4</v>
      </c>
      <c r="C86" s="56">
        <f t="shared" si="5"/>
        <v>1214884.2927776191</v>
      </c>
      <c r="D86" s="56">
        <f t="shared" si="6"/>
        <v>6395.2185840332877</v>
      </c>
      <c r="E86" s="15">
        <f t="shared" si="7"/>
        <v>4302.7152035874014</v>
      </c>
      <c r="F86" s="56">
        <f t="shared" si="8"/>
        <v>2092.5033804458863</v>
      </c>
      <c r="G86" s="56">
        <f t="shared" si="9"/>
        <v>1212791.7893971731</v>
      </c>
      <c r="H86" s="3">
        <f t="shared" si="10"/>
        <v>5700</v>
      </c>
      <c r="I86" s="15">
        <f t="shared" si="11"/>
        <v>833.33333333333337</v>
      </c>
      <c r="J86" s="56">
        <f t="shared" si="12"/>
        <v>-1528.5519173666207</v>
      </c>
      <c r="K86" s="13">
        <f t="shared" si="13"/>
        <v>-68784.836281497905</v>
      </c>
    </row>
    <row r="87" spans="1:11" ht="22.05" customHeight="1" outlineLevel="1" x14ac:dyDescent="0.25">
      <c r="A87" s="55">
        <f t="shared" si="3"/>
        <v>46</v>
      </c>
      <c r="B87" s="55">
        <f t="shared" si="4"/>
        <v>4</v>
      </c>
      <c r="C87" s="56">
        <f t="shared" si="5"/>
        <v>1212791.7893971731</v>
      </c>
      <c r="D87" s="56">
        <f t="shared" si="6"/>
        <v>6395.2185840332877</v>
      </c>
      <c r="E87" s="15">
        <f t="shared" si="7"/>
        <v>4295.3042541149889</v>
      </c>
      <c r="F87" s="56">
        <f t="shared" si="8"/>
        <v>2099.9143299182988</v>
      </c>
      <c r="G87" s="56">
        <f t="shared" si="9"/>
        <v>1210691.8750672548</v>
      </c>
      <c r="H87" s="3">
        <f t="shared" si="10"/>
        <v>5700</v>
      </c>
      <c r="I87" s="15">
        <f t="shared" si="11"/>
        <v>833.33333333333337</v>
      </c>
      <c r="J87" s="56">
        <f t="shared" si="12"/>
        <v>-1528.5519173666207</v>
      </c>
      <c r="K87" s="13">
        <f t="shared" si="13"/>
        <v>-70313.38819886453</v>
      </c>
    </row>
    <row r="88" spans="1:11" ht="22.05" customHeight="1" outlineLevel="1" x14ac:dyDescent="0.25">
      <c r="A88" s="55">
        <f t="shared" si="3"/>
        <v>47</v>
      </c>
      <c r="B88" s="55">
        <f t="shared" si="4"/>
        <v>4</v>
      </c>
      <c r="C88" s="56">
        <f t="shared" si="5"/>
        <v>1210691.8750672548</v>
      </c>
      <c r="D88" s="56">
        <f t="shared" si="6"/>
        <v>6395.2185840332877</v>
      </c>
      <c r="E88" s="15">
        <f t="shared" si="7"/>
        <v>4287.8670575298611</v>
      </c>
      <c r="F88" s="56">
        <f t="shared" si="8"/>
        <v>2107.3515265034266</v>
      </c>
      <c r="G88" s="56">
        <f t="shared" si="9"/>
        <v>1208584.5235407513</v>
      </c>
      <c r="H88" s="3">
        <f t="shared" si="10"/>
        <v>5700</v>
      </c>
      <c r="I88" s="15">
        <f t="shared" si="11"/>
        <v>833.33333333333337</v>
      </c>
      <c r="J88" s="56">
        <f t="shared" si="12"/>
        <v>-1528.5519173666207</v>
      </c>
      <c r="K88" s="13">
        <f t="shared" si="13"/>
        <v>-71841.940116231155</v>
      </c>
    </row>
    <row r="89" spans="1:11" ht="22.05" customHeight="1" outlineLevel="1" x14ac:dyDescent="0.25">
      <c r="A89" s="55">
        <f t="shared" si="3"/>
        <v>48</v>
      </c>
      <c r="B89" s="55">
        <f t="shared" si="4"/>
        <v>4</v>
      </c>
      <c r="C89" s="56">
        <f t="shared" si="5"/>
        <v>1208584.5235407513</v>
      </c>
      <c r="D89" s="56">
        <f t="shared" si="6"/>
        <v>6395.2185840332877</v>
      </c>
      <c r="E89" s="15">
        <f t="shared" si="7"/>
        <v>4280.403520873494</v>
      </c>
      <c r="F89" s="56">
        <f t="shared" si="8"/>
        <v>2114.8150631597937</v>
      </c>
      <c r="G89" s="56">
        <f t="shared" si="9"/>
        <v>1206469.7084775916</v>
      </c>
      <c r="H89" s="3">
        <f t="shared" si="10"/>
        <v>5700</v>
      </c>
      <c r="I89" s="15">
        <f t="shared" si="11"/>
        <v>833.33333333333337</v>
      </c>
      <c r="J89" s="56">
        <f t="shared" si="12"/>
        <v>-1528.5519173666207</v>
      </c>
      <c r="K89" s="13">
        <f t="shared" si="13"/>
        <v>-73370.49203359778</v>
      </c>
    </row>
    <row r="90" spans="1:11" ht="22.05" customHeight="1" outlineLevel="1" x14ac:dyDescent="0.25">
      <c r="A90" s="55">
        <f t="shared" si="3"/>
        <v>49</v>
      </c>
      <c r="B90" s="55">
        <f t="shared" si="4"/>
        <v>5</v>
      </c>
      <c r="C90" s="56">
        <f t="shared" si="5"/>
        <v>1206469.7084775916</v>
      </c>
      <c r="D90" s="56">
        <f t="shared" si="6"/>
        <v>6395.2185840332877</v>
      </c>
      <c r="E90" s="15">
        <f t="shared" si="7"/>
        <v>4272.9135508581376</v>
      </c>
      <c r="F90" s="56">
        <f t="shared" si="8"/>
        <v>2122.3050331751501</v>
      </c>
      <c r="G90" s="56">
        <f t="shared" si="9"/>
        <v>1204347.4034444166</v>
      </c>
      <c r="H90" s="3">
        <f t="shared" si="10"/>
        <v>5700</v>
      </c>
      <c r="I90" s="15">
        <f t="shared" si="11"/>
        <v>833.33333333333337</v>
      </c>
      <c r="J90" s="56">
        <f t="shared" si="12"/>
        <v>-1528.5519173666207</v>
      </c>
      <c r="K90" s="13">
        <f t="shared" si="13"/>
        <v>-74899.043950964406</v>
      </c>
    </row>
    <row r="91" spans="1:11" ht="22.05" customHeight="1" outlineLevel="1" x14ac:dyDescent="0.25">
      <c r="A91" s="55">
        <f t="shared" si="3"/>
        <v>50</v>
      </c>
      <c r="B91" s="55">
        <f t="shared" si="4"/>
        <v>5</v>
      </c>
      <c r="C91" s="56">
        <f t="shared" si="5"/>
        <v>1204347.4034444166</v>
      </c>
      <c r="D91" s="56">
        <f t="shared" si="6"/>
        <v>6395.2185840332877</v>
      </c>
      <c r="E91" s="15">
        <f t="shared" si="7"/>
        <v>4265.3970538656422</v>
      </c>
      <c r="F91" s="56">
        <f t="shared" si="8"/>
        <v>2129.8215301676455</v>
      </c>
      <c r="G91" s="56">
        <f t="shared" si="9"/>
        <v>1202217.5819142489</v>
      </c>
      <c r="H91" s="3">
        <f t="shared" si="10"/>
        <v>5700</v>
      </c>
      <c r="I91" s="15">
        <f t="shared" si="11"/>
        <v>833.33333333333337</v>
      </c>
      <c r="J91" s="56">
        <f t="shared" si="12"/>
        <v>-1528.5519173666207</v>
      </c>
      <c r="K91" s="13">
        <f t="shared" si="13"/>
        <v>-76427.595868331031</v>
      </c>
    </row>
    <row r="92" spans="1:11" ht="22.05" customHeight="1" outlineLevel="1" x14ac:dyDescent="0.25">
      <c r="A92" s="55">
        <f t="shared" si="3"/>
        <v>51</v>
      </c>
      <c r="B92" s="55">
        <f t="shared" si="4"/>
        <v>5</v>
      </c>
      <c r="C92" s="56">
        <f t="shared" si="5"/>
        <v>1202217.5819142489</v>
      </c>
      <c r="D92" s="56">
        <f t="shared" si="6"/>
        <v>6395.2185840332877</v>
      </c>
      <c r="E92" s="15">
        <f t="shared" si="7"/>
        <v>4257.8539359462984</v>
      </c>
      <c r="F92" s="56">
        <f t="shared" si="8"/>
        <v>2137.3646480869893</v>
      </c>
      <c r="G92" s="56">
        <f t="shared" si="9"/>
        <v>1200080.2172661619</v>
      </c>
      <c r="H92" s="3">
        <f t="shared" si="10"/>
        <v>5700</v>
      </c>
      <c r="I92" s="15">
        <f t="shared" si="11"/>
        <v>833.33333333333337</v>
      </c>
      <c r="J92" s="56">
        <f t="shared" si="12"/>
        <v>-1528.5519173666207</v>
      </c>
      <c r="K92" s="13">
        <f t="shared" si="13"/>
        <v>-77956.147785697656</v>
      </c>
    </row>
    <row r="93" spans="1:11" ht="22.05" customHeight="1" outlineLevel="1" x14ac:dyDescent="0.25">
      <c r="A93" s="55">
        <f t="shared" si="3"/>
        <v>52</v>
      </c>
      <c r="B93" s="55">
        <f t="shared" si="4"/>
        <v>5</v>
      </c>
      <c r="C93" s="56">
        <f t="shared" si="5"/>
        <v>1200080.2172661619</v>
      </c>
      <c r="D93" s="56">
        <f t="shared" si="6"/>
        <v>6395.2185840332877</v>
      </c>
      <c r="E93" s="15">
        <f t="shared" si="7"/>
        <v>4250.2841028176572</v>
      </c>
      <c r="F93" s="56">
        <f t="shared" si="8"/>
        <v>2144.9344812156305</v>
      </c>
      <c r="G93" s="56">
        <f t="shared" si="9"/>
        <v>1197935.2827849463</v>
      </c>
      <c r="H93" s="3">
        <f t="shared" si="10"/>
        <v>5700</v>
      </c>
      <c r="I93" s="15">
        <f t="shared" si="11"/>
        <v>833.33333333333337</v>
      </c>
      <c r="J93" s="56">
        <f t="shared" si="12"/>
        <v>-1528.5519173666207</v>
      </c>
      <c r="K93" s="13">
        <f t="shared" si="13"/>
        <v>-79484.699703064281</v>
      </c>
    </row>
    <row r="94" spans="1:11" ht="22.05" customHeight="1" outlineLevel="1" x14ac:dyDescent="0.25">
      <c r="A94" s="55">
        <f t="shared" si="3"/>
        <v>53</v>
      </c>
      <c r="B94" s="55">
        <f t="shared" si="4"/>
        <v>5</v>
      </c>
      <c r="C94" s="56">
        <f t="shared" si="5"/>
        <v>1197935.2827849463</v>
      </c>
      <c r="D94" s="56">
        <f t="shared" si="6"/>
        <v>6395.2185840332877</v>
      </c>
      <c r="E94" s="15">
        <f t="shared" si="7"/>
        <v>4242.6874598633522</v>
      </c>
      <c r="F94" s="56">
        <f t="shared" si="8"/>
        <v>2152.5311241699355</v>
      </c>
      <c r="G94" s="56">
        <f t="shared" si="9"/>
        <v>1195782.7516607763</v>
      </c>
      <c r="H94" s="3">
        <f t="shared" si="10"/>
        <v>5700</v>
      </c>
      <c r="I94" s="15">
        <f t="shared" si="11"/>
        <v>833.33333333333337</v>
      </c>
      <c r="J94" s="56">
        <f t="shared" si="12"/>
        <v>-1528.5519173666207</v>
      </c>
      <c r="K94" s="13">
        <f t="shared" si="13"/>
        <v>-81013.251620430907</v>
      </c>
    </row>
    <row r="95" spans="1:11" ht="22.05" customHeight="1" outlineLevel="1" x14ac:dyDescent="0.25">
      <c r="A95" s="55">
        <f t="shared" si="3"/>
        <v>54</v>
      </c>
      <c r="B95" s="55">
        <f t="shared" si="4"/>
        <v>5</v>
      </c>
      <c r="C95" s="56">
        <f t="shared" si="5"/>
        <v>1195782.7516607763</v>
      </c>
      <c r="D95" s="56">
        <f t="shared" si="6"/>
        <v>6395.2185840332877</v>
      </c>
      <c r="E95" s="15">
        <f t="shared" si="7"/>
        <v>4235.0639121319164</v>
      </c>
      <c r="F95" s="56">
        <f t="shared" si="8"/>
        <v>2160.1546719013713</v>
      </c>
      <c r="G95" s="56">
        <f t="shared" si="9"/>
        <v>1193622.596988875</v>
      </c>
      <c r="H95" s="3">
        <f t="shared" si="10"/>
        <v>5700</v>
      </c>
      <c r="I95" s="15">
        <f t="shared" si="11"/>
        <v>833.33333333333337</v>
      </c>
      <c r="J95" s="56">
        <f t="shared" si="12"/>
        <v>-1528.5519173666207</v>
      </c>
      <c r="K95" s="13">
        <f t="shared" si="13"/>
        <v>-82541.803537797532</v>
      </c>
    </row>
    <row r="96" spans="1:11" ht="22.05" customHeight="1" outlineLevel="1" x14ac:dyDescent="0.25">
      <c r="A96" s="55">
        <f t="shared" si="3"/>
        <v>55</v>
      </c>
      <c r="B96" s="55">
        <f t="shared" si="4"/>
        <v>5</v>
      </c>
      <c r="C96" s="56">
        <f t="shared" si="5"/>
        <v>1193622.596988875</v>
      </c>
      <c r="D96" s="56">
        <f t="shared" si="6"/>
        <v>6395.2185840332877</v>
      </c>
      <c r="E96" s="15">
        <f t="shared" si="7"/>
        <v>4227.413364335599</v>
      </c>
      <c r="F96" s="56">
        <f t="shared" si="8"/>
        <v>2167.8052196976887</v>
      </c>
      <c r="G96" s="56">
        <f t="shared" si="9"/>
        <v>1191454.7917691772</v>
      </c>
      <c r="H96" s="3">
        <f t="shared" si="10"/>
        <v>5700</v>
      </c>
      <c r="I96" s="15">
        <f t="shared" si="11"/>
        <v>833.33333333333337</v>
      </c>
      <c r="J96" s="56">
        <f t="shared" si="12"/>
        <v>-1528.5519173666207</v>
      </c>
      <c r="K96" s="13">
        <f t="shared" si="13"/>
        <v>-84070.355455164157</v>
      </c>
    </row>
    <row r="97" spans="1:11" ht="22.05" customHeight="1" outlineLevel="1" x14ac:dyDescent="0.25">
      <c r="A97" s="55">
        <f t="shared" si="3"/>
        <v>56</v>
      </c>
      <c r="B97" s="55">
        <f t="shared" si="4"/>
        <v>5</v>
      </c>
      <c r="C97" s="56">
        <f t="shared" si="5"/>
        <v>1191454.7917691772</v>
      </c>
      <c r="D97" s="56">
        <f t="shared" si="6"/>
        <v>6395.2185840332877</v>
      </c>
      <c r="E97" s="15">
        <f t="shared" si="7"/>
        <v>4219.7357208491694</v>
      </c>
      <c r="F97" s="56">
        <f t="shared" si="8"/>
        <v>2175.4828631841183</v>
      </c>
      <c r="G97" s="56">
        <f t="shared" si="9"/>
        <v>1189279.3089059931</v>
      </c>
      <c r="H97" s="3">
        <f t="shared" si="10"/>
        <v>5700</v>
      </c>
      <c r="I97" s="15">
        <f t="shared" si="11"/>
        <v>833.33333333333337</v>
      </c>
      <c r="J97" s="56">
        <f t="shared" si="12"/>
        <v>-1528.5519173666207</v>
      </c>
      <c r="K97" s="13">
        <f t="shared" si="13"/>
        <v>-85598.907372530783</v>
      </c>
    </row>
    <row r="98" spans="1:11" ht="22.05" customHeight="1" outlineLevel="1" x14ac:dyDescent="0.25">
      <c r="A98" s="55">
        <f t="shared" si="3"/>
        <v>57</v>
      </c>
      <c r="B98" s="55">
        <f t="shared" si="4"/>
        <v>5</v>
      </c>
      <c r="C98" s="56">
        <f t="shared" si="5"/>
        <v>1189279.3089059931</v>
      </c>
      <c r="D98" s="56">
        <f t="shared" si="6"/>
        <v>6395.2185840332877</v>
      </c>
      <c r="E98" s="15">
        <f t="shared" si="7"/>
        <v>4212.0308857087257</v>
      </c>
      <c r="F98" s="56">
        <f t="shared" si="8"/>
        <v>2183.187698324562</v>
      </c>
      <c r="G98" s="56">
        <f t="shared" si="9"/>
        <v>1187096.1212076684</v>
      </c>
      <c r="H98" s="3">
        <f t="shared" si="10"/>
        <v>5700</v>
      </c>
      <c r="I98" s="15">
        <f t="shared" si="11"/>
        <v>833.33333333333337</v>
      </c>
      <c r="J98" s="56">
        <f t="shared" si="12"/>
        <v>-1528.5519173666207</v>
      </c>
      <c r="K98" s="13">
        <f t="shared" si="13"/>
        <v>-87127.459289897408</v>
      </c>
    </row>
    <row r="99" spans="1:11" ht="22.05" customHeight="1" outlineLevel="1" x14ac:dyDescent="0.25">
      <c r="A99" s="55">
        <f t="shared" si="3"/>
        <v>58</v>
      </c>
      <c r="B99" s="55">
        <f t="shared" si="4"/>
        <v>5</v>
      </c>
      <c r="C99" s="56">
        <f t="shared" si="5"/>
        <v>1187096.1212076684</v>
      </c>
      <c r="D99" s="56">
        <f t="shared" si="6"/>
        <v>6395.2185840332877</v>
      </c>
      <c r="E99" s="15">
        <f t="shared" si="7"/>
        <v>4204.2987626104923</v>
      </c>
      <c r="F99" s="56">
        <f t="shared" si="8"/>
        <v>2190.9198214227954</v>
      </c>
      <c r="G99" s="56">
        <f t="shared" si="9"/>
        <v>1184905.2013862457</v>
      </c>
      <c r="H99" s="3">
        <f t="shared" si="10"/>
        <v>5700</v>
      </c>
      <c r="I99" s="15">
        <f t="shared" si="11"/>
        <v>833.33333333333337</v>
      </c>
      <c r="J99" s="56">
        <f t="shared" si="12"/>
        <v>-1528.5519173666207</v>
      </c>
      <c r="K99" s="13">
        <f t="shared" si="13"/>
        <v>-88656.011207264033</v>
      </c>
    </row>
    <row r="100" spans="1:11" ht="22.05" customHeight="1" outlineLevel="1" x14ac:dyDescent="0.25">
      <c r="A100" s="55">
        <f t="shared" si="3"/>
        <v>59</v>
      </c>
      <c r="B100" s="55">
        <f t="shared" si="4"/>
        <v>5</v>
      </c>
      <c r="C100" s="56">
        <f t="shared" si="5"/>
        <v>1184905.2013862457</v>
      </c>
      <c r="D100" s="56">
        <f t="shared" si="6"/>
        <v>6395.2185840332877</v>
      </c>
      <c r="E100" s="15">
        <f t="shared" si="7"/>
        <v>4196.5392549096205</v>
      </c>
      <c r="F100" s="56">
        <f t="shared" si="8"/>
        <v>2198.6793291236672</v>
      </c>
      <c r="G100" s="56">
        <f t="shared" si="9"/>
        <v>1182706.5220571221</v>
      </c>
      <c r="H100" s="3">
        <f t="shared" si="10"/>
        <v>5700</v>
      </c>
      <c r="I100" s="15">
        <f t="shared" si="11"/>
        <v>833.33333333333337</v>
      </c>
      <c r="J100" s="56">
        <f t="shared" si="12"/>
        <v>-1528.5519173666207</v>
      </c>
      <c r="K100" s="13">
        <f t="shared" si="13"/>
        <v>-90184.563124630658</v>
      </c>
    </row>
    <row r="101" spans="1:11" ht="22.05" customHeight="1" outlineLevel="1" x14ac:dyDescent="0.25">
      <c r="A101" s="55">
        <f t="shared" si="3"/>
        <v>60</v>
      </c>
      <c r="B101" s="55">
        <f t="shared" si="4"/>
        <v>5</v>
      </c>
      <c r="C101" s="56">
        <f t="shared" si="5"/>
        <v>1182706.5220571221</v>
      </c>
      <c r="D101" s="56">
        <f t="shared" si="6"/>
        <v>6395.2185840332877</v>
      </c>
      <c r="E101" s="15">
        <f t="shared" si="7"/>
        <v>4188.7522656189749</v>
      </c>
      <c r="F101" s="56">
        <f t="shared" si="8"/>
        <v>2206.4663184143128</v>
      </c>
      <c r="G101" s="56">
        <f t="shared" si="9"/>
        <v>1180500.0557387078</v>
      </c>
      <c r="H101" s="3">
        <f t="shared" si="10"/>
        <v>5700</v>
      </c>
      <c r="I101" s="15">
        <f t="shared" si="11"/>
        <v>833.33333333333337</v>
      </c>
      <c r="J101" s="56">
        <f t="shared" si="12"/>
        <v>-1528.5519173666207</v>
      </c>
      <c r="K101" s="13">
        <f t="shared" si="13"/>
        <v>-91713.115041997284</v>
      </c>
    </row>
    <row r="102" spans="1:11" ht="22.05" customHeight="1" outlineLevel="1" x14ac:dyDescent="0.25">
      <c r="A102" s="55">
        <f t="shared" si="3"/>
        <v>61</v>
      </c>
      <c r="B102" s="55">
        <f t="shared" si="4"/>
        <v>6</v>
      </c>
      <c r="C102" s="56">
        <f t="shared" si="5"/>
        <v>1180500.0557387078</v>
      </c>
      <c r="D102" s="56">
        <f t="shared" si="6"/>
        <v>6395.2185840332877</v>
      </c>
      <c r="E102" s="15">
        <f t="shared" si="7"/>
        <v>4180.9376974079232</v>
      </c>
      <c r="F102" s="56">
        <f t="shared" si="8"/>
        <v>2214.2808866253645</v>
      </c>
      <c r="G102" s="56">
        <f t="shared" si="9"/>
        <v>1178285.7748520824</v>
      </c>
      <c r="H102" s="3">
        <f t="shared" si="10"/>
        <v>5700</v>
      </c>
      <c r="I102" s="15">
        <f t="shared" si="11"/>
        <v>833.33333333333337</v>
      </c>
      <c r="J102" s="56">
        <f t="shared" si="12"/>
        <v>-1528.5519173666207</v>
      </c>
      <c r="K102" s="13">
        <f t="shared" si="13"/>
        <v>-93241.666959363909</v>
      </c>
    </row>
    <row r="103" spans="1:11" ht="22.05" customHeight="1" outlineLevel="1" x14ac:dyDescent="0.25">
      <c r="A103" s="55">
        <f t="shared" si="3"/>
        <v>62</v>
      </c>
      <c r="B103" s="55">
        <f t="shared" si="4"/>
        <v>6</v>
      </c>
      <c r="C103" s="56">
        <f t="shared" si="5"/>
        <v>1178285.7748520824</v>
      </c>
      <c r="D103" s="56">
        <f t="shared" si="6"/>
        <v>6395.2185840332877</v>
      </c>
      <c r="E103" s="15">
        <f t="shared" si="7"/>
        <v>4173.0954526011255</v>
      </c>
      <c r="F103" s="56">
        <f t="shared" si="8"/>
        <v>2222.1231314321622</v>
      </c>
      <c r="G103" s="56">
        <f t="shared" si="9"/>
        <v>1176063.6517206503</v>
      </c>
      <c r="H103" s="3">
        <f t="shared" si="10"/>
        <v>5700</v>
      </c>
      <c r="I103" s="15">
        <f t="shared" si="11"/>
        <v>833.33333333333337</v>
      </c>
      <c r="J103" s="56">
        <f t="shared" si="12"/>
        <v>-1528.5519173666207</v>
      </c>
      <c r="K103" s="13">
        <f t="shared" si="13"/>
        <v>-94770.218876730534</v>
      </c>
    </row>
    <row r="104" spans="1:11" ht="22.05" customHeight="1" outlineLevel="1" x14ac:dyDescent="0.25">
      <c r="A104" s="55">
        <f t="shared" si="3"/>
        <v>63</v>
      </c>
      <c r="B104" s="55">
        <f t="shared" si="4"/>
        <v>6</v>
      </c>
      <c r="C104" s="56">
        <f t="shared" si="5"/>
        <v>1176063.6517206503</v>
      </c>
      <c r="D104" s="56">
        <f t="shared" si="6"/>
        <v>6395.2185840332877</v>
      </c>
      <c r="E104" s="15">
        <f t="shared" si="7"/>
        <v>4165.2254331773029</v>
      </c>
      <c r="F104" s="56">
        <f t="shared" si="8"/>
        <v>2229.9931508559848</v>
      </c>
      <c r="G104" s="56">
        <f t="shared" si="9"/>
        <v>1173833.6585697944</v>
      </c>
      <c r="H104" s="3">
        <f t="shared" si="10"/>
        <v>5700</v>
      </c>
      <c r="I104" s="15">
        <f t="shared" si="11"/>
        <v>833.33333333333337</v>
      </c>
      <c r="J104" s="56">
        <f t="shared" si="12"/>
        <v>-1528.5519173666207</v>
      </c>
      <c r="K104" s="13">
        <f t="shared" si="13"/>
        <v>-96298.77079409716</v>
      </c>
    </row>
    <row r="105" spans="1:11" ht="22.05" customHeight="1" outlineLevel="1" x14ac:dyDescent="0.25">
      <c r="A105" s="55">
        <f t="shared" si="3"/>
        <v>64</v>
      </c>
      <c r="B105" s="55">
        <f t="shared" si="4"/>
        <v>6</v>
      </c>
      <c r="C105" s="56">
        <f t="shared" si="5"/>
        <v>1173833.6585697944</v>
      </c>
      <c r="D105" s="56">
        <f t="shared" si="6"/>
        <v>6395.2185840332877</v>
      </c>
      <c r="E105" s="15">
        <f t="shared" si="7"/>
        <v>4157.3275407680221</v>
      </c>
      <c r="F105" s="56">
        <f t="shared" si="8"/>
        <v>2237.8910432652656</v>
      </c>
      <c r="G105" s="56">
        <f t="shared" si="9"/>
        <v>1171595.767526529</v>
      </c>
      <c r="H105" s="3">
        <f t="shared" si="10"/>
        <v>5700</v>
      </c>
      <c r="I105" s="15">
        <f t="shared" si="11"/>
        <v>833.33333333333337</v>
      </c>
      <c r="J105" s="56">
        <f t="shared" si="12"/>
        <v>-1528.5519173666207</v>
      </c>
      <c r="K105" s="13">
        <f t="shared" si="13"/>
        <v>-97827.322711463785</v>
      </c>
    </row>
    <row r="106" spans="1:11" ht="22.05" customHeight="1" outlineLevel="1" x14ac:dyDescent="0.25">
      <c r="A106" s="55">
        <f t="shared" si="3"/>
        <v>65</v>
      </c>
      <c r="B106" s="55">
        <f t="shared" si="4"/>
        <v>6</v>
      </c>
      <c r="C106" s="56">
        <f t="shared" si="5"/>
        <v>1171595.767526529</v>
      </c>
      <c r="D106" s="56">
        <f t="shared" si="6"/>
        <v>6395.2185840332877</v>
      </c>
      <c r="E106" s="15">
        <f t="shared" si="7"/>
        <v>4149.4016766564573</v>
      </c>
      <c r="F106" s="56">
        <f t="shared" si="8"/>
        <v>2245.8169073768304</v>
      </c>
      <c r="G106" s="56">
        <f t="shared" si="9"/>
        <v>1169349.9506191523</v>
      </c>
      <c r="H106" s="3">
        <f t="shared" si="10"/>
        <v>5700</v>
      </c>
      <c r="I106" s="15">
        <f t="shared" si="11"/>
        <v>833.33333333333337</v>
      </c>
      <c r="J106" s="56">
        <f t="shared" si="12"/>
        <v>-1528.5519173666207</v>
      </c>
      <c r="K106" s="13">
        <f t="shared" si="13"/>
        <v>-99355.87462883041</v>
      </c>
    </row>
    <row r="107" spans="1:11" ht="22.05" customHeight="1" outlineLevel="1" x14ac:dyDescent="0.25">
      <c r="A107" s="55">
        <f t="shared" si="3"/>
        <v>66</v>
      </c>
      <c r="B107" s="55">
        <f t="shared" si="4"/>
        <v>6</v>
      </c>
      <c r="C107" s="56">
        <f t="shared" si="5"/>
        <v>1169349.9506191523</v>
      </c>
      <c r="D107" s="56">
        <f t="shared" si="6"/>
        <v>6395.2185840332877</v>
      </c>
      <c r="E107" s="15">
        <f t="shared" si="7"/>
        <v>4141.4477417761645</v>
      </c>
      <c r="F107" s="56">
        <f t="shared" si="8"/>
        <v>2253.7708422571231</v>
      </c>
      <c r="G107" s="56">
        <f t="shared" si="9"/>
        <v>1167096.1797768951</v>
      </c>
      <c r="H107" s="3">
        <f t="shared" si="10"/>
        <v>5700</v>
      </c>
      <c r="I107" s="15">
        <f t="shared" si="11"/>
        <v>833.33333333333337</v>
      </c>
      <c r="J107" s="56">
        <f t="shared" si="12"/>
        <v>-1528.5519173666207</v>
      </c>
      <c r="K107" s="13">
        <f t="shared" si="13"/>
        <v>-100884.42654619704</v>
      </c>
    </row>
    <row r="108" spans="1:11" ht="22.05" customHeight="1" outlineLevel="1" x14ac:dyDescent="0.25">
      <c r="A108" s="55">
        <f t="shared" ref="A108:A171" si="14">IF(A107&lt;360,A107+1,"")</f>
        <v>67</v>
      </c>
      <c r="B108" s="55">
        <f t="shared" ref="B108:B171" si="15">IF(A108="","",ROUNDUP(A108/12,0))</f>
        <v>6</v>
      </c>
      <c r="C108" s="56">
        <f t="shared" ref="C108:C171" si="16">IF(A108="","",G107)</f>
        <v>1167096.1797768951</v>
      </c>
      <c r="D108" s="56">
        <f t="shared" ref="D108:D171" si="17">IF(A108="","",IF(AND(A108&lt;=$G$8*12,$G$6&gt;0,C108&gt;0.01),IF($G$9="שפיצר",IFERROR(-PMT($G$7/12,$G$8*12,$G$6),0),IF($G$9="קרן שוה",$G$6/($G$8*12)+C108*$G$7/12,IF($G$9="בלון מלא",IF(A108=$G$8*12,C108+C108*$G$7/12,0),IF($G$9="בלון חלקי",C108*$G$7/12+IF(A108=$G$8*12,C108,0),0)))),0))</f>
        <v>6395.2185840332877</v>
      </c>
      <c r="E108" s="15">
        <f t="shared" ref="E108:E171" si="18">IF(A108="","",IF(AND(A108&lt;=$G$8*12,C108&gt;0.01),C108*$G$7/12,0))</f>
        <v>4133.4656367098369</v>
      </c>
      <c r="F108" s="56">
        <f t="shared" ref="F108:F171" si="19">IF(A108="","",D108-E108)</f>
        <v>2261.7529473234508</v>
      </c>
      <c r="G108" s="56">
        <f t="shared" ref="G108:G171" si="20">IF(A108="","",MAX(0,C108-F108))</f>
        <v>1164834.4268295716</v>
      </c>
      <c r="H108" s="3">
        <f t="shared" ref="H108:H171" si="21">IF(A108="","",$P$6*(1+$P$9)^(B108-1)*(1-$P$12))</f>
        <v>5700</v>
      </c>
      <c r="I108" s="15">
        <f t="shared" ref="I108:I171" si="22">IF(A108="","",$P$20/12*(1+$P$10)^(B108-1)-$P$13/12*(1+$P$9)^(B108-1)+$P$13/12*(1+$P$10)^(B108-1))</f>
        <v>833.33333333333337</v>
      </c>
      <c r="J108" s="56">
        <f t="shared" ref="J108:J171" si="23">IF(A108="","",H108-I108-D108)</f>
        <v>-1528.5519173666207</v>
      </c>
      <c r="K108" s="13">
        <f t="shared" ref="K108:K171" si="24">IF(A108="","",K107+J108)</f>
        <v>-102412.97846356366</v>
      </c>
    </row>
    <row r="109" spans="1:11" ht="22.05" customHeight="1" outlineLevel="1" x14ac:dyDescent="0.25">
      <c r="A109" s="55">
        <f t="shared" si="14"/>
        <v>68</v>
      </c>
      <c r="B109" s="55">
        <f t="shared" si="15"/>
        <v>6</v>
      </c>
      <c r="C109" s="56">
        <f t="shared" si="16"/>
        <v>1164834.4268295716</v>
      </c>
      <c r="D109" s="56">
        <f t="shared" si="17"/>
        <v>6395.2185840332877</v>
      </c>
      <c r="E109" s="15">
        <f t="shared" si="18"/>
        <v>4125.4552616880665</v>
      </c>
      <c r="F109" s="56">
        <f t="shared" si="19"/>
        <v>2269.7633223452212</v>
      </c>
      <c r="G109" s="56">
        <f t="shared" si="20"/>
        <v>1162564.6635072264</v>
      </c>
      <c r="H109" s="3">
        <f t="shared" si="21"/>
        <v>5700</v>
      </c>
      <c r="I109" s="15">
        <f t="shared" si="22"/>
        <v>833.33333333333337</v>
      </c>
      <c r="J109" s="56">
        <f t="shared" si="23"/>
        <v>-1528.5519173666207</v>
      </c>
      <c r="K109" s="13">
        <f t="shared" si="24"/>
        <v>-103941.53038093029</v>
      </c>
    </row>
    <row r="110" spans="1:11" ht="22.05" customHeight="1" outlineLevel="1" x14ac:dyDescent="0.25">
      <c r="A110" s="55">
        <f t="shared" si="14"/>
        <v>69</v>
      </c>
      <c r="B110" s="55">
        <f t="shared" si="15"/>
        <v>6</v>
      </c>
      <c r="C110" s="56">
        <f t="shared" si="16"/>
        <v>1162564.6635072264</v>
      </c>
      <c r="D110" s="56">
        <f t="shared" si="17"/>
        <v>6395.2185840332877</v>
      </c>
      <c r="E110" s="15">
        <f t="shared" si="18"/>
        <v>4117.4165165880941</v>
      </c>
      <c r="F110" s="56">
        <f t="shared" si="19"/>
        <v>2277.8020674451936</v>
      </c>
      <c r="G110" s="56">
        <f t="shared" si="20"/>
        <v>1160286.8614397813</v>
      </c>
      <c r="H110" s="3">
        <f t="shared" si="21"/>
        <v>5700</v>
      </c>
      <c r="I110" s="15">
        <f t="shared" si="22"/>
        <v>833.33333333333337</v>
      </c>
      <c r="J110" s="56">
        <f t="shared" si="23"/>
        <v>-1528.5519173666207</v>
      </c>
      <c r="K110" s="13">
        <f t="shared" si="24"/>
        <v>-105470.08229829691</v>
      </c>
    </row>
    <row r="111" spans="1:11" ht="22.05" customHeight="1" outlineLevel="1" x14ac:dyDescent="0.25">
      <c r="A111" s="55">
        <f t="shared" si="14"/>
        <v>70</v>
      </c>
      <c r="B111" s="55">
        <f t="shared" si="15"/>
        <v>6</v>
      </c>
      <c r="C111" s="56">
        <f t="shared" si="16"/>
        <v>1160286.8614397813</v>
      </c>
      <c r="D111" s="56">
        <f t="shared" si="17"/>
        <v>6395.2185840332877</v>
      </c>
      <c r="E111" s="15">
        <f t="shared" si="18"/>
        <v>4109.3493009325584</v>
      </c>
      <c r="F111" s="56">
        <f t="shared" si="19"/>
        <v>2285.8692831007293</v>
      </c>
      <c r="G111" s="56">
        <f t="shared" si="20"/>
        <v>1158000.9921566804</v>
      </c>
      <c r="H111" s="3">
        <f t="shared" si="21"/>
        <v>5700</v>
      </c>
      <c r="I111" s="15">
        <f t="shared" si="22"/>
        <v>833.33333333333337</v>
      </c>
      <c r="J111" s="56">
        <f t="shared" si="23"/>
        <v>-1528.5519173666207</v>
      </c>
      <c r="K111" s="13">
        <f t="shared" si="24"/>
        <v>-106998.63421566354</v>
      </c>
    </row>
    <row r="112" spans="1:11" ht="22.05" customHeight="1" outlineLevel="1" x14ac:dyDescent="0.25">
      <c r="A112" s="55">
        <f t="shared" si="14"/>
        <v>71</v>
      </c>
      <c r="B112" s="55">
        <f t="shared" si="15"/>
        <v>6</v>
      </c>
      <c r="C112" s="56">
        <f t="shared" si="16"/>
        <v>1158000.9921566804</v>
      </c>
      <c r="D112" s="56">
        <f t="shared" si="17"/>
        <v>6395.2185840332877</v>
      </c>
      <c r="E112" s="15">
        <f t="shared" si="18"/>
        <v>4101.253513888244</v>
      </c>
      <c r="F112" s="56">
        <f t="shared" si="19"/>
        <v>2293.9650701450437</v>
      </c>
      <c r="G112" s="56">
        <f t="shared" si="20"/>
        <v>1155707.0270865355</v>
      </c>
      <c r="H112" s="3">
        <f t="shared" si="21"/>
        <v>5700</v>
      </c>
      <c r="I112" s="15">
        <f t="shared" si="22"/>
        <v>833.33333333333337</v>
      </c>
      <c r="J112" s="56">
        <f t="shared" si="23"/>
        <v>-1528.5519173666207</v>
      </c>
      <c r="K112" s="13">
        <f t="shared" si="24"/>
        <v>-108527.18613303016</v>
      </c>
    </row>
    <row r="113" spans="1:11" ht="22.05" customHeight="1" outlineLevel="1" x14ac:dyDescent="0.25">
      <c r="A113" s="55">
        <f t="shared" si="14"/>
        <v>72</v>
      </c>
      <c r="B113" s="55">
        <f t="shared" si="15"/>
        <v>6</v>
      </c>
      <c r="C113" s="56">
        <f t="shared" si="16"/>
        <v>1155707.0270865355</v>
      </c>
      <c r="D113" s="56">
        <f t="shared" si="17"/>
        <v>6395.2185840332877</v>
      </c>
      <c r="E113" s="15">
        <f t="shared" si="18"/>
        <v>4093.1290542648135</v>
      </c>
      <c r="F113" s="56">
        <f t="shared" si="19"/>
        <v>2302.0895297684742</v>
      </c>
      <c r="G113" s="56">
        <f t="shared" si="20"/>
        <v>1153404.9375567669</v>
      </c>
      <c r="H113" s="3">
        <f t="shared" si="21"/>
        <v>5700</v>
      </c>
      <c r="I113" s="15">
        <f t="shared" si="22"/>
        <v>833.33333333333337</v>
      </c>
      <c r="J113" s="56">
        <f t="shared" si="23"/>
        <v>-1528.5519173666207</v>
      </c>
      <c r="K113" s="13">
        <f t="shared" si="24"/>
        <v>-110055.73805039679</v>
      </c>
    </row>
    <row r="114" spans="1:11" ht="22.05" customHeight="1" outlineLevel="1" x14ac:dyDescent="0.25">
      <c r="A114" s="55">
        <f t="shared" si="14"/>
        <v>73</v>
      </c>
      <c r="B114" s="55">
        <f t="shared" si="15"/>
        <v>7</v>
      </c>
      <c r="C114" s="56">
        <f t="shared" si="16"/>
        <v>1153404.9375567669</v>
      </c>
      <c r="D114" s="56">
        <f t="shared" si="17"/>
        <v>6395.2185840332877</v>
      </c>
      <c r="E114" s="15">
        <f t="shared" si="18"/>
        <v>4084.9758205135495</v>
      </c>
      <c r="F114" s="56">
        <f t="shared" si="19"/>
        <v>2310.2427635197382</v>
      </c>
      <c r="G114" s="56">
        <f t="shared" si="20"/>
        <v>1151094.6947932472</v>
      </c>
      <c r="H114" s="3">
        <f t="shared" si="21"/>
        <v>5700</v>
      </c>
      <c r="I114" s="15">
        <f t="shared" si="22"/>
        <v>833.33333333333337</v>
      </c>
      <c r="J114" s="56">
        <f t="shared" si="23"/>
        <v>-1528.5519173666207</v>
      </c>
      <c r="K114" s="13">
        <f t="shared" si="24"/>
        <v>-111584.28996776341</v>
      </c>
    </row>
    <row r="115" spans="1:11" ht="22.05" customHeight="1" outlineLevel="1" x14ac:dyDescent="0.25">
      <c r="A115" s="55">
        <f t="shared" si="14"/>
        <v>74</v>
      </c>
      <c r="B115" s="55">
        <f t="shared" si="15"/>
        <v>7</v>
      </c>
      <c r="C115" s="56">
        <f t="shared" si="16"/>
        <v>1151094.6947932472</v>
      </c>
      <c r="D115" s="56">
        <f t="shared" si="17"/>
        <v>6395.2185840332877</v>
      </c>
      <c r="E115" s="15">
        <f t="shared" si="18"/>
        <v>4076.7937107260841</v>
      </c>
      <c r="F115" s="56">
        <f t="shared" si="19"/>
        <v>2318.4248733072036</v>
      </c>
      <c r="G115" s="56">
        <f t="shared" si="20"/>
        <v>1148776.26991994</v>
      </c>
      <c r="H115" s="3">
        <f t="shared" si="21"/>
        <v>5700</v>
      </c>
      <c r="I115" s="15">
        <f t="shared" si="22"/>
        <v>833.33333333333337</v>
      </c>
      <c r="J115" s="56">
        <f t="shared" si="23"/>
        <v>-1528.5519173666207</v>
      </c>
      <c r="K115" s="13">
        <f t="shared" si="24"/>
        <v>-113112.84188513004</v>
      </c>
    </row>
    <row r="116" spans="1:11" ht="22.05" customHeight="1" outlineLevel="1" x14ac:dyDescent="0.25">
      <c r="A116" s="55">
        <f t="shared" si="14"/>
        <v>75</v>
      </c>
      <c r="B116" s="55">
        <f t="shared" si="15"/>
        <v>7</v>
      </c>
      <c r="C116" s="56">
        <f t="shared" si="16"/>
        <v>1148776.26991994</v>
      </c>
      <c r="D116" s="56">
        <f t="shared" si="17"/>
        <v>6395.2185840332877</v>
      </c>
      <c r="E116" s="15">
        <f t="shared" si="18"/>
        <v>4068.582622633121</v>
      </c>
      <c r="F116" s="56">
        <f t="shared" si="19"/>
        <v>2326.6359614001667</v>
      </c>
      <c r="G116" s="56">
        <f t="shared" si="20"/>
        <v>1146449.6339585399</v>
      </c>
      <c r="H116" s="3">
        <f t="shared" si="21"/>
        <v>5700</v>
      </c>
      <c r="I116" s="15">
        <f t="shared" si="22"/>
        <v>833.33333333333337</v>
      </c>
      <c r="J116" s="56">
        <f t="shared" si="23"/>
        <v>-1528.5519173666207</v>
      </c>
      <c r="K116" s="13">
        <f t="shared" si="24"/>
        <v>-114641.39380249666</v>
      </c>
    </row>
    <row r="117" spans="1:11" ht="22.05" customHeight="1" outlineLevel="1" x14ac:dyDescent="0.25">
      <c r="A117" s="55">
        <f t="shared" si="14"/>
        <v>76</v>
      </c>
      <c r="B117" s="55">
        <f t="shared" si="15"/>
        <v>7</v>
      </c>
      <c r="C117" s="56">
        <f t="shared" si="16"/>
        <v>1146449.6339585399</v>
      </c>
      <c r="D117" s="56">
        <f t="shared" si="17"/>
        <v>6395.2185840332877</v>
      </c>
      <c r="E117" s="15">
        <f t="shared" si="18"/>
        <v>4060.3424536031621</v>
      </c>
      <c r="F117" s="56">
        <f t="shared" si="19"/>
        <v>2334.8761304301256</v>
      </c>
      <c r="G117" s="56">
        <f t="shared" si="20"/>
        <v>1144114.7578281099</v>
      </c>
      <c r="H117" s="3">
        <f t="shared" si="21"/>
        <v>5700</v>
      </c>
      <c r="I117" s="15">
        <f t="shared" si="22"/>
        <v>833.33333333333337</v>
      </c>
      <c r="J117" s="56">
        <f t="shared" si="23"/>
        <v>-1528.5519173666207</v>
      </c>
      <c r="K117" s="13">
        <f t="shared" si="24"/>
        <v>-116169.94571986329</v>
      </c>
    </row>
    <row r="118" spans="1:11" ht="22.05" customHeight="1" outlineLevel="1" x14ac:dyDescent="0.25">
      <c r="A118" s="55">
        <f t="shared" si="14"/>
        <v>77</v>
      </c>
      <c r="B118" s="55">
        <f t="shared" si="15"/>
        <v>7</v>
      </c>
      <c r="C118" s="56">
        <f t="shared" si="16"/>
        <v>1144114.7578281099</v>
      </c>
      <c r="D118" s="56">
        <f t="shared" si="17"/>
        <v>6395.2185840332877</v>
      </c>
      <c r="E118" s="15">
        <f t="shared" si="18"/>
        <v>4052.0731006412229</v>
      </c>
      <c r="F118" s="56">
        <f t="shared" si="19"/>
        <v>2343.1454833920648</v>
      </c>
      <c r="G118" s="56">
        <f t="shared" si="20"/>
        <v>1141771.6123447178</v>
      </c>
      <c r="H118" s="3">
        <f t="shared" si="21"/>
        <v>5700</v>
      </c>
      <c r="I118" s="15">
        <f t="shared" si="22"/>
        <v>833.33333333333337</v>
      </c>
      <c r="J118" s="56">
        <f t="shared" si="23"/>
        <v>-1528.5519173666207</v>
      </c>
      <c r="K118" s="13">
        <f t="shared" si="24"/>
        <v>-117698.49763722991</v>
      </c>
    </row>
    <row r="119" spans="1:11" ht="22.05" customHeight="1" outlineLevel="1" x14ac:dyDescent="0.25">
      <c r="A119" s="55">
        <f t="shared" si="14"/>
        <v>78</v>
      </c>
      <c r="B119" s="55">
        <f t="shared" si="15"/>
        <v>7</v>
      </c>
      <c r="C119" s="56">
        <f t="shared" si="16"/>
        <v>1141771.6123447178</v>
      </c>
      <c r="D119" s="56">
        <f t="shared" si="17"/>
        <v>6395.2185840332877</v>
      </c>
      <c r="E119" s="15">
        <f t="shared" si="18"/>
        <v>4043.7744603875431</v>
      </c>
      <c r="F119" s="56">
        <f t="shared" si="19"/>
        <v>2351.4441236457446</v>
      </c>
      <c r="G119" s="56">
        <f t="shared" si="20"/>
        <v>1139420.1682210721</v>
      </c>
      <c r="H119" s="3">
        <f t="shared" si="21"/>
        <v>5700</v>
      </c>
      <c r="I119" s="15">
        <f t="shared" si="22"/>
        <v>833.33333333333337</v>
      </c>
      <c r="J119" s="56">
        <f t="shared" si="23"/>
        <v>-1528.5519173666207</v>
      </c>
      <c r="K119" s="13">
        <f t="shared" si="24"/>
        <v>-119227.04955459654</v>
      </c>
    </row>
    <row r="120" spans="1:11" ht="22.05" customHeight="1" outlineLevel="1" x14ac:dyDescent="0.25">
      <c r="A120" s="55">
        <f t="shared" si="14"/>
        <v>79</v>
      </c>
      <c r="B120" s="55">
        <f t="shared" si="15"/>
        <v>7</v>
      </c>
      <c r="C120" s="56">
        <f t="shared" si="16"/>
        <v>1139420.1682210721</v>
      </c>
      <c r="D120" s="56">
        <f t="shared" si="17"/>
        <v>6395.2185840332877</v>
      </c>
      <c r="E120" s="15">
        <f t="shared" si="18"/>
        <v>4035.4464291162972</v>
      </c>
      <c r="F120" s="56">
        <f t="shared" si="19"/>
        <v>2359.7721549169905</v>
      </c>
      <c r="G120" s="56">
        <f t="shared" si="20"/>
        <v>1137060.3960661551</v>
      </c>
      <c r="H120" s="3">
        <f t="shared" si="21"/>
        <v>5700</v>
      </c>
      <c r="I120" s="15">
        <f t="shared" si="22"/>
        <v>833.33333333333337</v>
      </c>
      <c r="J120" s="56">
        <f t="shared" si="23"/>
        <v>-1528.5519173666207</v>
      </c>
      <c r="K120" s="13">
        <f t="shared" si="24"/>
        <v>-120755.60147196316</v>
      </c>
    </row>
    <row r="121" spans="1:11" ht="22.05" customHeight="1" outlineLevel="1" x14ac:dyDescent="0.25">
      <c r="A121" s="55">
        <f t="shared" si="14"/>
        <v>80</v>
      </c>
      <c r="B121" s="55">
        <f t="shared" si="15"/>
        <v>7</v>
      </c>
      <c r="C121" s="56">
        <f t="shared" si="16"/>
        <v>1137060.3960661551</v>
      </c>
      <c r="D121" s="56">
        <f t="shared" si="17"/>
        <v>6395.2185840332877</v>
      </c>
      <c r="E121" s="15">
        <f t="shared" si="18"/>
        <v>4027.0889027342996</v>
      </c>
      <c r="F121" s="56">
        <f t="shared" si="19"/>
        <v>2368.1296812989881</v>
      </c>
      <c r="G121" s="56">
        <f t="shared" si="20"/>
        <v>1134692.2663848561</v>
      </c>
      <c r="H121" s="3">
        <f t="shared" si="21"/>
        <v>5700</v>
      </c>
      <c r="I121" s="15">
        <f t="shared" si="22"/>
        <v>833.33333333333337</v>
      </c>
      <c r="J121" s="56">
        <f t="shared" si="23"/>
        <v>-1528.5519173666207</v>
      </c>
      <c r="K121" s="13">
        <f t="shared" si="24"/>
        <v>-122284.15338932979</v>
      </c>
    </row>
    <row r="122" spans="1:11" ht="22.05" customHeight="1" outlineLevel="1" x14ac:dyDescent="0.25">
      <c r="A122" s="55">
        <f t="shared" si="14"/>
        <v>81</v>
      </c>
      <c r="B122" s="55">
        <f t="shared" si="15"/>
        <v>7</v>
      </c>
      <c r="C122" s="56">
        <f t="shared" si="16"/>
        <v>1134692.2663848561</v>
      </c>
      <c r="D122" s="56">
        <f t="shared" si="17"/>
        <v>6395.2185840332877</v>
      </c>
      <c r="E122" s="15">
        <f t="shared" si="18"/>
        <v>4018.7017767796988</v>
      </c>
      <c r="F122" s="56">
        <f t="shared" si="19"/>
        <v>2376.5168072535889</v>
      </c>
      <c r="G122" s="56">
        <f t="shared" si="20"/>
        <v>1132315.7495776024</v>
      </c>
      <c r="H122" s="3">
        <f t="shared" si="21"/>
        <v>5700</v>
      </c>
      <c r="I122" s="15">
        <f t="shared" si="22"/>
        <v>833.33333333333337</v>
      </c>
      <c r="J122" s="56">
        <f t="shared" si="23"/>
        <v>-1528.5519173666207</v>
      </c>
      <c r="K122" s="13">
        <f t="shared" si="24"/>
        <v>-123812.70530669641</v>
      </c>
    </row>
    <row r="123" spans="1:11" ht="22.05" customHeight="1" outlineLevel="1" x14ac:dyDescent="0.25">
      <c r="A123" s="55">
        <f t="shared" si="14"/>
        <v>82</v>
      </c>
      <c r="B123" s="55">
        <f t="shared" si="15"/>
        <v>7</v>
      </c>
      <c r="C123" s="56">
        <f t="shared" si="16"/>
        <v>1132315.7495776024</v>
      </c>
      <c r="D123" s="56">
        <f t="shared" si="17"/>
        <v>6395.2185840332877</v>
      </c>
      <c r="E123" s="15">
        <f t="shared" si="18"/>
        <v>4010.2849464206756</v>
      </c>
      <c r="F123" s="56">
        <f t="shared" si="19"/>
        <v>2384.9336376126121</v>
      </c>
      <c r="G123" s="56">
        <f t="shared" si="20"/>
        <v>1129930.8159399899</v>
      </c>
      <c r="H123" s="3">
        <f t="shared" si="21"/>
        <v>5700</v>
      </c>
      <c r="I123" s="15">
        <f t="shared" si="22"/>
        <v>833.33333333333337</v>
      </c>
      <c r="J123" s="56">
        <f t="shared" si="23"/>
        <v>-1528.5519173666207</v>
      </c>
      <c r="K123" s="13">
        <f t="shared" si="24"/>
        <v>-125341.25722406304</v>
      </c>
    </row>
    <row r="124" spans="1:11" ht="22.05" customHeight="1" outlineLevel="1" x14ac:dyDescent="0.25">
      <c r="A124" s="55">
        <f t="shared" si="14"/>
        <v>83</v>
      </c>
      <c r="B124" s="55">
        <f t="shared" si="15"/>
        <v>7</v>
      </c>
      <c r="C124" s="56">
        <f t="shared" si="16"/>
        <v>1129930.8159399899</v>
      </c>
      <c r="D124" s="56">
        <f t="shared" si="17"/>
        <v>6395.2185840332877</v>
      </c>
      <c r="E124" s="15">
        <f t="shared" si="18"/>
        <v>4001.8383064541308</v>
      </c>
      <c r="F124" s="56">
        <f t="shared" si="19"/>
        <v>2393.3802775791569</v>
      </c>
      <c r="G124" s="56">
        <f t="shared" si="20"/>
        <v>1127537.4356624107</v>
      </c>
      <c r="H124" s="3">
        <f t="shared" si="21"/>
        <v>5700</v>
      </c>
      <c r="I124" s="15">
        <f t="shared" si="22"/>
        <v>833.33333333333337</v>
      </c>
      <c r="J124" s="56">
        <f t="shared" si="23"/>
        <v>-1528.5519173666207</v>
      </c>
      <c r="K124" s="13">
        <f t="shared" si="24"/>
        <v>-126869.80914142967</v>
      </c>
    </row>
    <row r="125" spans="1:11" ht="22.05" customHeight="1" outlineLevel="1" x14ac:dyDescent="0.25">
      <c r="A125" s="55">
        <f t="shared" si="14"/>
        <v>84</v>
      </c>
      <c r="B125" s="55">
        <f t="shared" si="15"/>
        <v>7</v>
      </c>
      <c r="C125" s="56">
        <f t="shared" si="16"/>
        <v>1127537.4356624107</v>
      </c>
      <c r="D125" s="56">
        <f t="shared" si="17"/>
        <v>6395.2185840332877</v>
      </c>
      <c r="E125" s="15">
        <f t="shared" si="18"/>
        <v>3993.3617513043714</v>
      </c>
      <c r="F125" s="56">
        <f t="shared" si="19"/>
        <v>2401.8568327289163</v>
      </c>
      <c r="G125" s="56">
        <f t="shared" si="20"/>
        <v>1125135.5788296817</v>
      </c>
      <c r="H125" s="3">
        <f t="shared" si="21"/>
        <v>5700</v>
      </c>
      <c r="I125" s="15">
        <f t="shared" si="22"/>
        <v>833.33333333333337</v>
      </c>
      <c r="J125" s="56">
        <f t="shared" si="23"/>
        <v>-1528.5519173666207</v>
      </c>
      <c r="K125" s="13">
        <f t="shared" si="24"/>
        <v>-128398.36105879629</v>
      </c>
    </row>
    <row r="126" spans="1:11" ht="22.05" customHeight="1" outlineLevel="1" x14ac:dyDescent="0.25">
      <c r="A126" s="55">
        <f t="shared" si="14"/>
        <v>85</v>
      </c>
      <c r="B126" s="55">
        <f t="shared" si="15"/>
        <v>8</v>
      </c>
      <c r="C126" s="56">
        <f t="shared" si="16"/>
        <v>1125135.5788296817</v>
      </c>
      <c r="D126" s="56">
        <f t="shared" si="17"/>
        <v>6395.2185840332877</v>
      </c>
      <c r="E126" s="15">
        <f t="shared" si="18"/>
        <v>3984.8551750217898</v>
      </c>
      <c r="F126" s="56">
        <f t="shared" si="19"/>
        <v>2410.3634090114979</v>
      </c>
      <c r="G126" s="56">
        <f t="shared" si="20"/>
        <v>1122725.2154206703</v>
      </c>
      <c r="H126" s="3">
        <f t="shared" si="21"/>
        <v>5700</v>
      </c>
      <c r="I126" s="15">
        <f t="shared" si="22"/>
        <v>833.33333333333337</v>
      </c>
      <c r="J126" s="56">
        <f t="shared" si="23"/>
        <v>-1528.5519173666207</v>
      </c>
      <c r="K126" s="13">
        <f t="shared" si="24"/>
        <v>-129926.91297616292</v>
      </c>
    </row>
    <row r="127" spans="1:11" ht="22.05" customHeight="1" outlineLevel="1" x14ac:dyDescent="0.25">
      <c r="A127" s="55">
        <f t="shared" si="14"/>
        <v>86</v>
      </c>
      <c r="B127" s="55">
        <f t="shared" si="15"/>
        <v>8</v>
      </c>
      <c r="C127" s="56">
        <f t="shared" si="16"/>
        <v>1122725.2154206703</v>
      </c>
      <c r="D127" s="56">
        <f t="shared" si="17"/>
        <v>6395.2185840332877</v>
      </c>
      <c r="E127" s="15">
        <f t="shared" si="18"/>
        <v>3976.3184712815414</v>
      </c>
      <c r="F127" s="56">
        <f t="shared" si="19"/>
        <v>2418.9001127517463</v>
      </c>
      <c r="G127" s="56">
        <f t="shared" si="20"/>
        <v>1120306.3153079187</v>
      </c>
      <c r="H127" s="3">
        <f t="shared" si="21"/>
        <v>5700</v>
      </c>
      <c r="I127" s="15">
        <f t="shared" si="22"/>
        <v>833.33333333333337</v>
      </c>
      <c r="J127" s="56">
        <f t="shared" si="23"/>
        <v>-1528.5519173666207</v>
      </c>
      <c r="K127" s="13">
        <f t="shared" si="24"/>
        <v>-131455.46489352954</v>
      </c>
    </row>
    <row r="128" spans="1:11" ht="22.05" customHeight="1" outlineLevel="1" x14ac:dyDescent="0.25">
      <c r="A128" s="55">
        <f t="shared" si="14"/>
        <v>87</v>
      </c>
      <c r="B128" s="55">
        <f t="shared" si="15"/>
        <v>8</v>
      </c>
      <c r="C128" s="56">
        <f t="shared" si="16"/>
        <v>1120306.3153079187</v>
      </c>
      <c r="D128" s="56">
        <f t="shared" si="17"/>
        <v>6395.2185840332877</v>
      </c>
      <c r="E128" s="15">
        <f t="shared" si="18"/>
        <v>3967.7515333822121</v>
      </c>
      <c r="F128" s="56">
        <f t="shared" si="19"/>
        <v>2427.4670506510756</v>
      </c>
      <c r="G128" s="56">
        <f t="shared" si="20"/>
        <v>1117878.8482572676</v>
      </c>
      <c r="H128" s="3">
        <f t="shared" si="21"/>
        <v>5700</v>
      </c>
      <c r="I128" s="15">
        <f t="shared" si="22"/>
        <v>833.33333333333337</v>
      </c>
      <c r="J128" s="56">
        <f t="shared" si="23"/>
        <v>-1528.5519173666207</v>
      </c>
      <c r="K128" s="13">
        <f t="shared" si="24"/>
        <v>-132984.01681089617</v>
      </c>
    </row>
    <row r="129" spans="1:11" ht="22.05" customHeight="1" outlineLevel="1" x14ac:dyDescent="0.25">
      <c r="A129" s="55">
        <f t="shared" si="14"/>
        <v>88</v>
      </c>
      <c r="B129" s="55">
        <f t="shared" si="15"/>
        <v>8</v>
      </c>
      <c r="C129" s="56">
        <f t="shared" si="16"/>
        <v>1117878.8482572676</v>
      </c>
      <c r="D129" s="56">
        <f t="shared" si="17"/>
        <v>6395.2185840332877</v>
      </c>
      <c r="E129" s="15">
        <f t="shared" si="18"/>
        <v>3959.1542542444895</v>
      </c>
      <c r="F129" s="56">
        <f t="shared" si="19"/>
        <v>2436.0643297887982</v>
      </c>
      <c r="G129" s="56">
        <f t="shared" si="20"/>
        <v>1115442.7839274788</v>
      </c>
      <c r="H129" s="3">
        <f t="shared" si="21"/>
        <v>5700</v>
      </c>
      <c r="I129" s="15">
        <f t="shared" si="22"/>
        <v>833.33333333333337</v>
      </c>
      <c r="J129" s="56">
        <f t="shared" si="23"/>
        <v>-1528.5519173666207</v>
      </c>
      <c r="K129" s="13">
        <f t="shared" si="24"/>
        <v>-134512.56872826279</v>
      </c>
    </row>
    <row r="130" spans="1:11" ht="22.05" customHeight="1" outlineLevel="1" x14ac:dyDescent="0.25">
      <c r="A130" s="55">
        <f t="shared" si="14"/>
        <v>89</v>
      </c>
      <c r="B130" s="55">
        <f t="shared" si="15"/>
        <v>8</v>
      </c>
      <c r="C130" s="56">
        <f t="shared" si="16"/>
        <v>1115442.7839274788</v>
      </c>
      <c r="D130" s="56">
        <f t="shared" si="17"/>
        <v>6395.2185840332877</v>
      </c>
      <c r="E130" s="15">
        <f t="shared" si="18"/>
        <v>3950.5265264098211</v>
      </c>
      <c r="F130" s="56">
        <f t="shared" si="19"/>
        <v>2444.6920576234666</v>
      </c>
      <c r="G130" s="56">
        <f t="shared" si="20"/>
        <v>1112998.0918698553</v>
      </c>
      <c r="H130" s="3">
        <f t="shared" si="21"/>
        <v>5700</v>
      </c>
      <c r="I130" s="15">
        <f t="shared" si="22"/>
        <v>833.33333333333337</v>
      </c>
      <c r="J130" s="56">
        <f t="shared" si="23"/>
        <v>-1528.5519173666207</v>
      </c>
      <c r="K130" s="13">
        <f t="shared" si="24"/>
        <v>-136041.12064562942</v>
      </c>
    </row>
    <row r="131" spans="1:11" ht="22.05" customHeight="1" outlineLevel="1" x14ac:dyDescent="0.25">
      <c r="A131" s="55">
        <f t="shared" si="14"/>
        <v>90</v>
      </c>
      <c r="B131" s="55">
        <f t="shared" si="15"/>
        <v>8</v>
      </c>
      <c r="C131" s="56">
        <f t="shared" si="16"/>
        <v>1112998.0918698553</v>
      </c>
      <c r="D131" s="56">
        <f t="shared" si="17"/>
        <v>6395.2185840332877</v>
      </c>
      <c r="E131" s="15">
        <f t="shared" si="18"/>
        <v>3941.868242039071</v>
      </c>
      <c r="F131" s="56">
        <f t="shared" si="19"/>
        <v>2453.3503419942167</v>
      </c>
      <c r="G131" s="56">
        <f t="shared" si="20"/>
        <v>1110544.741527861</v>
      </c>
      <c r="H131" s="3">
        <f t="shared" si="21"/>
        <v>5700</v>
      </c>
      <c r="I131" s="15">
        <f t="shared" si="22"/>
        <v>833.33333333333337</v>
      </c>
      <c r="J131" s="56">
        <f t="shared" si="23"/>
        <v>-1528.5519173666207</v>
      </c>
      <c r="K131" s="13">
        <f t="shared" si="24"/>
        <v>-137569.67256299604</v>
      </c>
    </row>
    <row r="132" spans="1:11" ht="22.05" customHeight="1" outlineLevel="1" x14ac:dyDescent="0.25">
      <c r="A132" s="55">
        <f t="shared" si="14"/>
        <v>91</v>
      </c>
      <c r="B132" s="55">
        <f t="shared" si="15"/>
        <v>8</v>
      </c>
      <c r="C132" s="56">
        <f t="shared" si="16"/>
        <v>1110544.741527861</v>
      </c>
      <c r="D132" s="56">
        <f t="shared" si="17"/>
        <v>6395.2185840332877</v>
      </c>
      <c r="E132" s="15">
        <f t="shared" si="18"/>
        <v>3933.1792929111743</v>
      </c>
      <c r="F132" s="56">
        <f t="shared" si="19"/>
        <v>2462.0392911221134</v>
      </c>
      <c r="G132" s="56">
        <f t="shared" si="20"/>
        <v>1108082.702236739</v>
      </c>
      <c r="H132" s="3">
        <f t="shared" si="21"/>
        <v>5700</v>
      </c>
      <c r="I132" s="15">
        <f t="shared" si="22"/>
        <v>833.33333333333337</v>
      </c>
      <c r="J132" s="56">
        <f t="shared" si="23"/>
        <v>-1528.5519173666207</v>
      </c>
      <c r="K132" s="13">
        <f t="shared" si="24"/>
        <v>-139098.22448036267</v>
      </c>
    </row>
    <row r="133" spans="1:11" ht="22.05" customHeight="1" outlineLevel="1" x14ac:dyDescent="0.25">
      <c r="A133" s="55">
        <f t="shared" si="14"/>
        <v>92</v>
      </c>
      <c r="B133" s="55">
        <f t="shared" si="15"/>
        <v>8</v>
      </c>
      <c r="C133" s="56">
        <f t="shared" si="16"/>
        <v>1108082.702236739</v>
      </c>
      <c r="D133" s="56">
        <f t="shared" si="17"/>
        <v>6395.2185840332877</v>
      </c>
      <c r="E133" s="15">
        <f t="shared" si="18"/>
        <v>3924.4595704217841</v>
      </c>
      <c r="F133" s="56">
        <f t="shared" si="19"/>
        <v>2470.7590136115036</v>
      </c>
      <c r="G133" s="56">
        <f t="shared" si="20"/>
        <v>1105611.9432231274</v>
      </c>
      <c r="H133" s="3">
        <f t="shared" si="21"/>
        <v>5700</v>
      </c>
      <c r="I133" s="15">
        <f t="shared" si="22"/>
        <v>833.33333333333337</v>
      </c>
      <c r="J133" s="56">
        <f t="shared" si="23"/>
        <v>-1528.5519173666207</v>
      </c>
      <c r="K133" s="13">
        <f t="shared" si="24"/>
        <v>-140626.77639772929</v>
      </c>
    </row>
    <row r="134" spans="1:11" ht="22.05" customHeight="1" outlineLevel="1" x14ac:dyDescent="0.25">
      <c r="A134" s="55">
        <f t="shared" si="14"/>
        <v>93</v>
      </c>
      <c r="B134" s="55">
        <f t="shared" si="15"/>
        <v>8</v>
      </c>
      <c r="C134" s="56">
        <f t="shared" si="16"/>
        <v>1105611.9432231274</v>
      </c>
      <c r="D134" s="56">
        <f t="shared" si="17"/>
        <v>6395.2185840332877</v>
      </c>
      <c r="E134" s="15">
        <f t="shared" si="18"/>
        <v>3915.7089655819095</v>
      </c>
      <c r="F134" s="56">
        <f t="shared" si="19"/>
        <v>2479.5096184513782</v>
      </c>
      <c r="G134" s="56">
        <f t="shared" si="20"/>
        <v>1103132.433604676</v>
      </c>
      <c r="H134" s="3">
        <f t="shared" si="21"/>
        <v>5700</v>
      </c>
      <c r="I134" s="15">
        <f t="shared" si="22"/>
        <v>833.33333333333337</v>
      </c>
      <c r="J134" s="56">
        <f t="shared" si="23"/>
        <v>-1528.5519173666207</v>
      </c>
      <c r="K134" s="13">
        <f t="shared" si="24"/>
        <v>-142155.32831509592</v>
      </c>
    </row>
    <row r="135" spans="1:11" ht="22.05" customHeight="1" outlineLevel="1" x14ac:dyDescent="0.25">
      <c r="A135" s="55">
        <f t="shared" si="14"/>
        <v>94</v>
      </c>
      <c r="B135" s="55">
        <f t="shared" si="15"/>
        <v>8</v>
      </c>
      <c r="C135" s="56">
        <f t="shared" si="16"/>
        <v>1103132.433604676</v>
      </c>
      <c r="D135" s="56">
        <f t="shared" si="17"/>
        <v>6395.2185840332877</v>
      </c>
      <c r="E135" s="15">
        <f t="shared" si="18"/>
        <v>3906.927369016561</v>
      </c>
      <c r="F135" s="56">
        <f t="shared" si="19"/>
        <v>2488.2912150167267</v>
      </c>
      <c r="G135" s="56">
        <f t="shared" si="20"/>
        <v>1100644.1423896593</v>
      </c>
      <c r="H135" s="3">
        <f t="shared" si="21"/>
        <v>5700</v>
      </c>
      <c r="I135" s="15">
        <f t="shared" si="22"/>
        <v>833.33333333333337</v>
      </c>
      <c r="J135" s="56">
        <f t="shared" si="23"/>
        <v>-1528.5519173666207</v>
      </c>
      <c r="K135" s="13">
        <f t="shared" si="24"/>
        <v>-143683.88023246254</v>
      </c>
    </row>
    <row r="136" spans="1:11" ht="22.05" customHeight="1" outlineLevel="1" x14ac:dyDescent="0.25">
      <c r="A136" s="55">
        <f t="shared" si="14"/>
        <v>95</v>
      </c>
      <c r="B136" s="55">
        <f t="shared" si="15"/>
        <v>8</v>
      </c>
      <c r="C136" s="56">
        <f t="shared" si="16"/>
        <v>1100644.1423896593</v>
      </c>
      <c r="D136" s="56">
        <f t="shared" si="17"/>
        <v>6395.2185840332877</v>
      </c>
      <c r="E136" s="15">
        <f t="shared" si="18"/>
        <v>3898.1146709633772</v>
      </c>
      <c r="F136" s="56">
        <f t="shared" si="19"/>
        <v>2497.1039130699105</v>
      </c>
      <c r="G136" s="56">
        <f t="shared" si="20"/>
        <v>1098147.0384765894</v>
      </c>
      <c r="H136" s="3">
        <f t="shared" si="21"/>
        <v>5700</v>
      </c>
      <c r="I136" s="15">
        <f t="shared" si="22"/>
        <v>833.33333333333337</v>
      </c>
      <c r="J136" s="56">
        <f t="shared" si="23"/>
        <v>-1528.5519173666207</v>
      </c>
      <c r="K136" s="13">
        <f t="shared" si="24"/>
        <v>-145212.43214982917</v>
      </c>
    </row>
    <row r="137" spans="1:11" ht="22.05" customHeight="1" outlineLevel="1" x14ac:dyDescent="0.25">
      <c r="A137" s="55">
        <f t="shared" si="14"/>
        <v>96</v>
      </c>
      <c r="B137" s="55">
        <f t="shared" si="15"/>
        <v>8</v>
      </c>
      <c r="C137" s="56">
        <f t="shared" si="16"/>
        <v>1098147.0384765894</v>
      </c>
      <c r="D137" s="56">
        <f t="shared" si="17"/>
        <v>6395.2185840332877</v>
      </c>
      <c r="E137" s="15">
        <f t="shared" si="18"/>
        <v>3889.2707612712543</v>
      </c>
      <c r="F137" s="56">
        <f t="shared" si="19"/>
        <v>2505.9478227620334</v>
      </c>
      <c r="G137" s="56">
        <f t="shared" si="20"/>
        <v>1095641.0906538274</v>
      </c>
      <c r="H137" s="3">
        <f t="shared" si="21"/>
        <v>5700</v>
      </c>
      <c r="I137" s="15">
        <f t="shared" si="22"/>
        <v>833.33333333333337</v>
      </c>
      <c r="J137" s="56">
        <f t="shared" si="23"/>
        <v>-1528.5519173666207</v>
      </c>
      <c r="K137" s="13">
        <f t="shared" si="24"/>
        <v>-146740.98406719579</v>
      </c>
    </row>
    <row r="138" spans="1:11" ht="22.05" customHeight="1" outlineLevel="1" x14ac:dyDescent="0.25">
      <c r="A138" s="55">
        <f t="shared" si="14"/>
        <v>97</v>
      </c>
      <c r="B138" s="55">
        <f t="shared" si="15"/>
        <v>9</v>
      </c>
      <c r="C138" s="56">
        <f t="shared" si="16"/>
        <v>1095641.0906538274</v>
      </c>
      <c r="D138" s="56">
        <f t="shared" si="17"/>
        <v>6395.2185840332877</v>
      </c>
      <c r="E138" s="15">
        <f t="shared" si="18"/>
        <v>3880.3955293989725</v>
      </c>
      <c r="F138" s="56">
        <f t="shared" si="19"/>
        <v>2514.8230546343152</v>
      </c>
      <c r="G138" s="56">
        <f t="shared" si="20"/>
        <v>1093126.2675991931</v>
      </c>
      <c r="H138" s="3">
        <f t="shared" si="21"/>
        <v>5700</v>
      </c>
      <c r="I138" s="15">
        <f t="shared" si="22"/>
        <v>833.33333333333337</v>
      </c>
      <c r="J138" s="56">
        <f t="shared" si="23"/>
        <v>-1528.5519173666207</v>
      </c>
      <c r="K138" s="13">
        <f t="shared" si="24"/>
        <v>-148269.53598456242</v>
      </c>
    </row>
    <row r="139" spans="1:11" ht="22.05" customHeight="1" outlineLevel="1" x14ac:dyDescent="0.25">
      <c r="A139" s="55">
        <f t="shared" si="14"/>
        <v>98</v>
      </c>
      <c r="B139" s="55">
        <f t="shared" si="15"/>
        <v>9</v>
      </c>
      <c r="C139" s="56">
        <f t="shared" si="16"/>
        <v>1093126.2675991931</v>
      </c>
      <c r="D139" s="56">
        <f t="shared" si="17"/>
        <v>6395.2185840332877</v>
      </c>
      <c r="E139" s="15">
        <f t="shared" si="18"/>
        <v>3871.4888644138096</v>
      </c>
      <c r="F139" s="56">
        <f t="shared" si="19"/>
        <v>2523.7297196194781</v>
      </c>
      <c r="G139" s="56">
        <f t="shared" si="20"/>
        <v>1090602.5378795736</v>
      </c>
      <c r="H139" s="3">
        <f t="shared" si="21"/>
        <v>5700</v>
      </c>
      <c r="I139" s="15">
        <f t="shared" si="22"/>
        <v>833.33333333333337</v>
      </c>
      <c r="J139" s="56">
        <f t="shared" si="23"/>
        <v>-1528.5519173666207</v>
      </c>
      <c r="K139" s="13">
        <f t="shared" si="24"/>
        <v>-149798.08790192904</v>
      </c>
    </row>
    <row r="140" spans="1:11" ht="22.05" customHeight="1" outlineLevel="1" x14ac:dyDescent="0.25">
      <c r="A140" s="55">
        <f t="shared" si="14"/>
        <v>99</v>
      </c>
      <c r="B140" s="55">
        <f t="shared" si="15"/>
        <v>9</v>
      </c>
      <c r="C140" s="56">
        <f t="shared" si="16"/>
        <v>1090602.5378795736</v>
      </c>
      <c r="D140" s="56">
        <f t="shared" si="17"/>
        <v>6395.2185840332877</v>
      </c>
      <c r="E140" s="15">
        <f t="shared" si="18"/>
        <v>3862.550654990157</v>
      </c>
      <c r="F140" s="56">
        <f t="shared" si="19"/>
        <v>2532.6679290431307</v>
      </c>
      <c r="G140" s="56">
        <f t="shared" si="20"/>
        <v>1088069.8699505306</v>
      </c>
      <c r="H140" s="3">
        <f t="shared" si="21"/>
        <v>5700</v>
      </c>
      <c r="I140" s="15">
        <f t="shared" si="22"/>
        <v>833.33333333333337</v>
      </c>
      <c r="J140" s="56">
        <f t="shared" si="23"/>
        <v>-1528.5519173666207</v>
      </c>
      <c r="K140" s="13">
        <f t="shared" si="24"/>
        <v>-151326.63981929567</v>
      </c>
    </row>
    <row r="141" spans="1:11" ht="22.05" customHeight="1" outlineLevel="1" x14ac:dyDescent="0.25">
      <c r="A141" s="55">
        <f t="shared" si="14"/>
        <v>100</v>
      </c>
      <c r="B141" s="55">
        <f t="shared" si="15"/>
        <v>9</v>
      </c>
      <c r="C141" s="56">
        <f t="shared" si="16"/>
        <v>1088069.8699505306</v>
      </c>
      <c r="D141" s="56">
        <f t="shared" si="17"/>
        <v>6395.2185840332877</v>
      </c>
      <c r="E141" s="15">
        <f t="shared" si="18"/>
        <v>3853.5807894081295</v>
      </c>
      <c r="F141" s="56">
        <f t="shared" si="19"/>
        <v>2541.6377946251582</v>
      </c>
      <c r="G141" s="56">
        <f t="shared" si="20"/>
        <v>1085528.2321559053</v>
      </c>
      <c r="H141" s="3">
        <f t="shared" si="21"/>
        <v>5700</v>
      </c>
      <c r="I141" s="15">
        <f t="shared" si="22"/>
        <v>833.33333333333337</v>
      </c>
      <c r="J141" s="56">
        <f t="shared" si="23"/>
        <v>-1528.5519173666207</v>
      </c>
      <c r="K141" s="13">
        <f t="shared" si="24"/>
        <v>-152855.19173666229</v>
      </c>
    </row>
    <row r="142" spans="1:11" ht="22.05" customHeight="1" outlineLevel="1" x14ac:dyDescent="0.25">
      <c r="A142" s="55">
        <f t="shared" si="14"/>
        <v>101</v>
      </c>
      <c r="B142" s="55">
        <f t="shared" si="15"/>
        <v>9</v>
      </c>
      <c r="C142" s="56">
        <f t="shared" si="16"/>
        <v>1085528.2321559053</v>
      </c>
      <c r="D142" s="56">
        <f t="shared" si="17"/>
        <v>6395.2185840332877</v>
      </c>
      <c r="E142" s="15">
        <f t="shared" si="18"/>
        <v>3844.579155552165</v>
      </c>
      <c r="F142" s="56">
        <f t="shared" si="19"/>
        <v>2550.6394284811226</v>
      </c>
      <c r="G142" s="56">
        <f t="shared" si="20"/>
        <v>1082977.5927274241</v>
      </c>
      <c r="H142" s="3">
        <f t="shared" si="21"/>
        <v>5700</v>
      </c>
      <c r="I142" s="15">
        <f t="shared" si="22"/>
        <v>833.33333333333337</v>
      </c>
      <c r="J142" s="56">
        <f t="shared" si="23"/>
        <v>-1528.5519173666207</v>
      </c>
      <c r="K142" s="13">
        <f t="shared" si="24"/>
        <v>-154383.74365402892</v>
      </c>
    </row>
    <row r="143" spans="1:11" ht="22.05" customHeight="1" outlineLevel="1" x14ac:dyDescent="0.25">
      <c r="A143" s="55">
        <f t="shared" si="14"/>
        <v>102</v>
      </c>
      <c r="B143" s="55">
        <f t="shared" si="15"/>
        <v>9</v>
      </c>
      <c r="C143" s="56">
        <f t="shared" si="16"/>
        <v>1082977.5927274241</v>
      </c>
      <c r="D143" s="56">
        <f t="shared" si="17"/>
        <v>6395.2185840332877</v>
      </c>
      <c r="E143" s="15">
        <f t="shared" si="18"/>
        <v>3835.5456409096273</v>
      </c>
      <c r="F143" s="56">
        <f t="shared" si="19"/>
        <v>2559.6729431236604</v>
      </c>
      <c r="G143" s="56">
        <f t="shared" si="20"/>
        <v>1080417.9197843005</v>
      </c>
      <c r="H143" s="3">
        <f t="shared" si="21"/>
        <v>5700</v>
      </c>
      <c r="I143" s="15">
        <f t="shared" si="22"/>
        <v>833.33333333333337</v>
      </c>
      <c r="J143" s="56">
        <f t="shared" si="23"/>
        <v>-1528.5519173666207</v>
      </c>
      <c r="K143" s="13">
        <f t="shared" si="24"/>
        <v>-155912.29557139555</v>
      </c>
    </row>
    <row r="144" spans="1:11" ht="22.05" customHeight="1" outlineLevel="1" x14ac:dyDescent="0.25">
      <c r="A144" s="55">
        <f t="shared" si="14"/>
        <v>103</v>
      </c>
      <c r="B144" s="55">
        <f t="shared" si="15"/>
        <v>9</v>
      </c>
      <c r="C144" s="56">
        <f t="shared" si="16"/>
        <v>1080417.9197843005</v>
      </c>
      <c r="D144" s="56">
        <f t="shared" si="17"/>
        <v>6395.2185840332877</v>
      </c>
      <c r="E144" s="15">
        <f t="shared" si="18"/>
        <v>3826.4801325693975</v>
      </c>
      <c r="F144" s="56">
        <f t="shared" si="19"/>
        <v>2568.7384514638902</v>
      </c>
      <c r="G144" s="56">
        <f t="shared" si="20"/>
        <v>1077849.1813328366</v>
      </c>
      <c r="H144" s="3">
        <f t="shared" si="21"/>
        <v>5700</v>
      </c>
      <c r="I144" s="15">
        <f t="shared" si="22"/>
        <v>833.33333333333337</v>
      </c>
      <c r="J144" s="56">
        <f t="shared" si="23"/>
        <v>-1528.5519173666207</v>
      </c>
      <c r="K144" s="13">
        <f t="shared" si="24"/>
        <v>-157440.84748876217</v>
      </c>
    </row>
    <row r="145" spans="1:11" ht="22.05" customHeight="1" outlineLevel="1" x14ac:dyDescent="0.25">
      <c r="A145" s="55">
        <f t="shared" si="14"/>
        <v>104</v>
      </c>
      <c r="B145" s="55">
        <f t="shared" si="15"/>
        <v>9</v>
      </c>
      <c r="C145" s="56">
        <f t="shared" si="16"/>
        <v>1077849.1813328366</v>
      </c>
      <c r="D145" s="56">
        <f t="shared" si="17"/>
        <v>6395.2185840332877</v>
      </c>
      <c r="E145" s="15">
        <f t="shared" si="18"/>
        <v>3817.3825172204633</v>
      </c>
      <c r="F145" s="56">
        <f t="shared" si="19"/>
        <v>2577.8360668128244</v>
      </c>
      <c r="G145" s="56">
        <f t="shared" si="20"/>
        <v>1075271.3452660239</v>
      </c>
      <c r="H145" s="3">
        <f t="shared" si="21"/>
        <v>5700</v>
      </c>
      <c r="I145" s="15">
        <f t="shared" si="22"/>
        <v>833.33333333333337</v>
      </c>
      <c r="J145" s="56">
        <f t="shared" si="23"/>
        <v>-1528.5519173666207</v>
      </c>
      <c r="K145" s="13">
        <f t="shared" si="24"/>
        <v>-158969.3994061288</v>
      </c>
    </row>
    <row r="146" spans="1:11" ht="22.05" customHeight="1" outlineLevel="1" x14ac:dyDescent="0.25">
      <c r="A146" s="55">
        <f t="shared" si="14"/>
        <v>105</v>
      </c>
      <c r="B146" s="55">
        <f t="shared" si="15"/>
        <v>9</v>
      </c>
      <c r="C146" s="56">
        <f t="shared" si="16"/>
        <v>1075271.3452660239</v>
      </c>
      <c r="D146" s="56">
        <f t="shared" si="17"/>
        <v>6395.2185840332877</v>
      </c>
      <c r="E146" s="15">
        <f t="shared" si="18"/>
        <v>3808.2526811505013</v>
      </c>
      <c r="F146" s="56">
        <f t="shared" si="19"/>
        <v>2586.9659028827864</v>
      </c>
      <c r="G146" s="56">
        <f t="shared" si="20"/>
        <v>1072684.379363141</v>
      </c>
      <c r="H146" s="3">
        <f t="shared" si="21"/>
        <v>5700</v>
      </c>
      <c r="I146" s="15">
        <f t="shared" si="22"/>
        <v>833.33333333333337</v>
      </c>
      <c r="J146" s="56">
        <f t="shared" si="23"/>
        <v>-1528.5519173666207</v>
      </c>
      <c r="K146" s="13">
        <f t="shared" si="24"/>
        <v>-160497.95132349542</v>
      </c>
    </row>
    <row r="147" spans="1:11" ht="22.05" customHeight="1" outlineLevel="1" x14ac:dyDescent="0.25">
      <c r="A147" s="55">
        <f t="shared" si="14"/>
        <v>106</v>
      </c>
      <c r="B147" s="55">
        <f t="shared" si="15"/>
        <v>9</v>
      </c>
      <c r="C147" s="56">
        <f t="shared" si="16"/>
        <v>1072684.379363141</v>
      </c>
      <c r="D147" s="56">
        <f t="shared" si="17"/>
        <v>6395.2185840332877</v>
      </c>
      <c r="E147" s="15">
        <f t="shared" si="18"/>
        <v>3799.0905102444581</v>
      </c>
      <c r="F147" s="56">
        <f t="shared" si="19"/>
        <v>2596.1280737888296</v>
      </c>
      <c r="G147" s="56">
        <f t="shared" si="20"/>
        <v>1070088.2512893523</v>
      </c>
      <c r="H147" s="3">
        <f t="shared" si="21"/>
        <v>5700</v>
      </c>
      <c r="I147" s="15">
        <f t="shared" si="22"/>
        <v>833.33333333333337</v>
      </c>
      <c r="J147" s="56">
        <f t="shared" si="23"/>
        <v>-1528.5519173666207</v>
      </c>
      <c r="K147" s="13">
        <f t="shared" si="24"/>
        <v>-162026.50324086205</v>
      </c>
    </row>
    <row r="148" spans="1:11" ht="22.05" customHeight="1" outlineLevel="1" x14ac:dyDescent="0.25">
      <c r="A148" s="55">
        <f t="shared" si="14"/>
        <v>107</v>
      </c>
      <c r="B148" s="55">
        <f t="shared" si="15"/>
        <v>9</v>
      </c>
      <c r="C148" s="56">
        <f t="shared" si="16"/>
        <v>1070088.2512893523</v>
      </c>
      <c r="D148" s="56">
        <f t="shared" si="17"/>
        <v>6395.2185840332877</v>
      </c>
      <c r="E148" s="15">
        <f t="shared" si="18"/>
        <v>3789.8958899831232</v>
      </c>
      <c r="F148" s="56">
        <f t="shared" si="19"/>
        <v>2605.3226940501645</v>
      </c>
      <c r="G148" s="56">
        <f t="shared" si="20"/>
        <v>1067482.9285953022</v>
      </c>
      <c r="H148" s="3">
        <f t="shared" si="21"/>
        <v>5700</v>
      </c>
      <c r="I148" s="15">
        <f t="shared" si="22"/>
        <v>833.33333333333337</v>
      </c>
      <c r="J148" s="56">
        <f t="shared" si="23"/>
        <v>-1528.5519173666207</v>
      </c>
      <c r="K148" s="13">
        <f t="shared" si="24"/>
        <v>-163555.05515822867</v>
      </c>
    </row>
    <row r="149" spans="1:11" ht="22.05" customHeight="1" outlineLevel="1" x14ac:dyDescent="0.25">
      <c r="A149" s="55">
        <f t="shared" si="14"/>
        <v>108</v>
      </c>
      <c r="B149" s="55">
        <f t="shared" si="15"/>
        <v>9</v>
      </c>
      <c r="C149" s="56">
        <f t="shared" si="16"/>
        <v>1067482.9285953022</v>
      </c>
      <c r="D149" s="56">
        <f t="shared" si="17"/>
        <v>6395.2185840332877</v>
      </c>
      <c r="E149" s="15">
        <f t="shared" si="18"/>
        <v>3780.6687054416957</v>
      </c>
      <c r="F149" s="56">
        <f t="shared" si="19"/>
        <v>2614.549878591592</v>
      </c>
      <c r="G149" s="56">
        <f t="shared" si="20"/>
        <v>1064868.3787167105</v>
      </c>
      <c r="H149" s="3">
        <f t="shared" si="21"/>
        <v>5700</v>
      </c>
      <c r="I149" s="15">
        <f t="shared" si="22"/>
        <v>833.33333333333337</v>
      </c>
      <c r="J149" s="56">
        <f t="shared" si="23"/>
        <v>-1528.5519173666207</v>
      </c>
      <c r="K149" s="13">
        <f t="shared" si="24"/>
        <v>-165083.6070755953</v>
      </c>
    </row>
    <row r="150" spans="1:11" ht="22.05" customHeight="1" outlineLevel="1" x14ac:dyDescent="0.25">
      <c r="A150" s="55">
        <f t="shared" si="14"/>
        <v>109</v>
      </c>
      <c r="B150" s="55">
        <f t="shared" si="15"/>
        <v>10</v>
      </c>
      <c r="C150" s="56">
        <f t="shared" si="16"/>
        <v>1064868.3787167105</v>
      </c>
      <c r="D150" s="56">
        <f t="shared" si="17"/>
        <v>6395.2185840332877</v>
      </c>
      <c r="E150" s="15">
        <f t="shared" si="18"/>
        <v>3771.4088412883498</v>
      </c>
      <c r="F150" s="56">
        <f t="shared" si="19"/>
        <v>2623.8097427449379</v>
      </c>
      <c r="G150" s="56">
        <f t="shared" si="20"/>
        <v>1062244.5689739655</v>
      </c>
      <c r="H150" s="3">
        <f t="shared" si="21"/>
        <v>5700</v>
      </c>
      <c r="I150" s="15">
        <f t="shared" si="22"/>
        <v>833.33333333333337</v>
      </c>
      <c r="J150" s="56">
        <f t="shared" si="23"/>
        <v>-1528.5519173666207</v>
      </c>
      <c r="K150" s="13">
        <f t="shared" si="24"/>
        <v>-166612.15899296192</v>
      </c>
    </row>
    <row r="151" spans="1:11" ht="22.05" customHeight="1" outlineLevel="1" x14ac:dyDescent="0.25">
      <c r="A151" s="55">
        <f t="shared" si="14"/>
        <v>110</v>
      </c>
      <c r="B151" s="55">
        <f t="shared" si="15"/>
        <v>10</v>
      </c>
      <c r="C151" s="56">
        <f t="shared" si="16"/>
        <v>1062244.5689739655</v>
      </c>
      <c r="D151" s="56">
        <f t="shared" si="17"/>
        <v>6395.2185840332877</v>
      </c>
      <c r="E151" s="15">
        <f t="shared" si="18"/>
        <v>3762.1161817827947</v>
      </c>
      <c r="F151" s="56">
        <f t="shared" si="19"/>
        <v>2633.102402250493</v>
      </c>
      <c r="G151" s="56">
        <f t="shared" si="20"/>
        <v>1059611.466571715</v>
      </c>
      <c r="H151" s="3">
        <f t="shared" si="21"/>
        <v>5700</v>
      </c>
      <c r="I151" s="15">
        <f t="shared" si="22"/>
        <v>833.33333333333337</v>
      </c>
      <c r="J151" s="56">
        <f t="shared" si="23"/>
        <v>-1528.5519173666207</v>
      </c>
      <c r="K151" s="13">
        <f t="shared" si="24"/>
        <v>-168140.71091032855</v>
      </c>
    </row>
    <row r="152" spans="1:11" ht="22.05" customHeight="1" outlineLevel="1" x14ac:dyDescent="0.25">
      <c r="A152" s="55">
        <f t="shared" si="14"/>
        <v>111</v>
      </c>
      <c r="B152" s="55">
        <f t="shared" si="15"/>
        <v>10</v>
      </c>
      <c r="C152" s="56">
        <f t="shared" si="16"/>
        <v>1059611.466571715</v>
      </c>
      <c r="D152" s="56">
        <f t="shared" si="17"/>
        <v>6395.2185840332877</v>
      </c>
      <c r="E152" s="15">
        <f t="shared" si="18"/>
        <v>3752.790610774824</v>
      </c>
      <c r="F152" s="56">
        <f t="shared" si="19"/>
        <v>2642.4279732584637</v>
      </c>
      <c r="G152" s="56">
        <f t="shared" si="20"/>
        <v>1056969.0385984564</v>
      </c>
      <c r="H152" s="3">
        <f t="shared" si="21"/>
        <v>5700</v>
      </c>
      <c r="I152" s="15">
        <f t="shared" si="22"/>
        <v>833.33333333333337</v>
      </c>
      <c r="J152" s="56">
        <f t="shared" si="23"/>
        <v>-1528.5519173666207</v>
      </c>
      <c r="K152" s="13">
        <f t="shared" si="24"/>
        <v>-169669.26282769517</v>
      </c>
    </row>
    <row r="153" spans="1:11" ht="22.05" customHeight="1" outlineLevel="1" x14ac:dyDescent="0.25">
      <c r="A153" s="55">
        <f t="shared" si="14"/>
        <v>112</v>
      </c>
      <c r="B153" s="55">
        <f t="shared" si="15"/>
        <v>10</v>
      </c>
      <c r="C153" s="56">
        <f t="shared" si="16"/>
        <v>1056969.0385984564</v>
      </c>
      <c r="D153" s="56">
        <f t="shared" si="17"/>
        <v>6395.2185840332877</v>
      </c>
      <c r="E153" s="15">
        <f t="shared" si="18"/>
        <v>3743.4320117028669</v>
      </c>
      <c r="F153" s="56">
        <f t="shared" si="19"/>
        <v>2651.7865723304208</v>
      </c>
      <c r="G153" s="56">
        <f t="shared" si="20"/>
        <v>1054317.252026126</v>
      </c>
      <c r="H153" s="3">
        <f t="shared" si="21"/>
        <v>5700</v>
      </c>
      <c r="I153" s="15">
        <f t="shared" si="22"/>
        <v>833.33333333333337</v>
      </c>
      <c r="J153" s="56">
        <f t="shared" si="23"/>
        <v>-1528.5519173666207</v>
      </c>
      <c r="K153" s="13">
        <f t="shared" si="24"/>
        <v>-171197.8147450618</v>
      </c>
    </row>
    <row r="154" spans="1:11" ht="22.05" customHeight="1" outlineLevel="1" x14ac:dyDescent="0.25">
      <c r="A154" s="55">
        <f t="shared" si="14"/>
        <v>113</v>
      </c>
      <c r="B154" s="55">
        <f t="shared" si="15"/>
        <v>10</v>
      </c>
      <c r="C154" s="56">
        <f t="shared" si="16"/>
        <v>1054317.252026126</v>
      </c>
      <c r="D154" s="56">
        <f t="shared" si="17"/>
        <v>6395.2185840332877</v>
      </c>
      <c r="E154" s="15">
        <f t="shared" si="18"/>
        <v>3734.0402675925302</v>
      </c>
      <c r="F154" s="56">
        <f t="shared" si="19"/>
        <v>2661.1783164407575</v>
      </c>
      <c r="G154" s="56">
        <f t="shared" si="20"/>
        <v>1051656.0737096854</v>
      </c>
      <c r="H154" s="3">
        <f t="shared" si="21"/>
        <v>5700</v>
      </c>
      <c r="I154" s="15">
        <f t="shared" si="22"/>
        <v>833.33333333333337</v>
      </c>
      <c r="J154" s="56">
        <f t="shared" si="23"/>
        <v>-1528.5519173666207</v>
      </c>
      <c r="K154" s="13">
        <f t="shared" si="24"/>
        <v>-172726.36666242842</v>
      </c>
    </row>
    <row r="155" spans="1:11" ht="22.05" customHeight="1" outlineLevel="1" x14ac:dyDescent="0.25">
      <c r="A155" s="55">
        <f t="shared" si="14"/>
        <v>114</v>
      </c>
      <c r="B155" s="55">
        <f t="shared" si="15"/>
        <v>10</v>
      </c>
      <c r="C155" s="56">
        <f t="shared" si="16"/>
        <v>1051656.0737096854</v>
      </c>
      <c r="D155" s="56">
        <f t="shared" si="17"/>
        <v>6395.2185840332877</v>
      </c>
      <c r="E155" s="15">
        <f t="shared" si="18"/>
        <v>3724.6152610551358</v>
      </c>
      <c r="F155" s="56">
        <f t="shared" si="19"/>
        <v>2670.6033229781519</v>
      </c>
      <c r="G155" s="56">
        <f t="shared" si="20"/>
        <v>1048985.4703867072</v>
      </c>
      <c r="H155" s="3">
        <f t="shared" si="21"/>
        <v>5700</v>
      </c>
      <c r="I155" s="15">
        <f t="shared" si="22"/>
        <v>833.33333333333337</v>
      </c>
      <c r="J155" s="56">
        <f t="shared" si="23"/>
        <v>-1528.5519173666207</v>
      </c>
      <c r="K155" s="13">
        <f t="shared" si="24"/>
        <v>-174254.91857979505</v>
      </c>
    </row>
    <row r="156" spans="1:11" ht="22.05" customHeight="1" outlineLevel="1" x14ac:dyDescent="0.25">
      <c r="A156" s="55">
        <f t="shared" si="14"/>
        <v>115</v>
      </c>
      <c r="B156" s="55">
        <f t="shared" si="15"/>
        <v>10</v>
      </c>
      <c r="C156" s="56">
        <f t="shared" si="16"/>
        <v>1048985.4703867072</v>
      </c>
      <c r="D156" s="56">
        <f t="shared" si="17"/>
        <v>6395.2185840332877</v>
      </c>
      <c r="E156" s="15">
        <f t="shared" si="18"/>
        <v>3715.1568742862551</v>
      </c>
      <c r="F156" s="56">
        <f t="shared" si="19"/>
        <v>2680.0617097470326</v>
      </c>
      <c r="G156" s="56">
        <f t="shared" si="20"/>
        <v>1046305.4086769602</v>
      </c>
      <c r="H156" s="3">
        <f t="shared" si="21"/>
        <v>5700</v>
      </c>
      <c r="I156" s="15">
        <f t="shared" si="22"/>
        <v>833.33333333333337</v>
      </c>
      <c r="J156" s="56">
        <f t="shared" si="23"/>
        <v>-1528.5519173666207</v>
      </c>
      <c r="K156" s="13">
        <f t="shared" si="24"/>
        <v>-175783.47049716167</v>
      </c>
    </row>
    <row r="157" spans="1:11" ht="22.05" customHeight="1" outlineLevel="1" x14ac:dyDescent="0.25">
      <c r="A157" s="55">
        <f t="shared" si="14"/>
        <v>116</v>
      </c>
      <c r="B157" s="55">
        <f t="shared" si="15"/>
        <v>10</v>
      </c>
      <c r="C157" s="56">
        <f t="shared" si="16"/>
        <v>1046305.4086769602</v>
      </c>
      <c r="D157" s="56">
        <f t="shared" si="17"/>
        <v>6395.2185840332877</v>
      </c>
      <c r="E157" s="15">
        <f t="shared" si="18"/>
        <v>3705.6649890642343</v>
      </c>
      <c r="F157" s="56">
        <f t="shared" si="19"/>
        <v>2689.5535949690534</v>
      </c>
      <c r="G157" s="56">
        <f t="shared" si="20"/>
        <v>1043615.8550819911</v>
      </c>
      <c r="H157" s="3">
        <f t="shared" si="21"/>
        <v>5700</v>
      </c>
      <c r="I157" s="15">
        <f t="shared" si="22"/>
        <v>833.33333333333337</v>
      </c>
      <c r="J157" s="56">
        <f t="shared" si="23"/>
        <v>-1528.5519173666207</v>
      </c>
      <c r="K157" s="13">
        <f t="shared" si="24"/>
        <v>-177312.0224145283</v>
      </c>
    </row>
    <row r="158" spans="1:11" ht="22.05" customHeight="1" outlineLevel="1" x14ac:dyDescent="0.25">
      <c r="A158" s="55">
        <f t="shared" si="14"/>
        <v>117</v>
      </c>
      <c r="B158" s="55">
        <f t="shared" si="15"/>
        <v>10</v>
      </c>
      <c r="C158" s="56">
        <f t="shared" si="16"/>
        <v>1043615.8550819911</v>
      </c>
      <c r="D158" s="56">
        <f t="shared" si="17"/>
        <v>6395.2185840332877</v>
      </c>
      <c r="E158" s="15">
        <f t="shared" si="18"/>
        <v>3696.1394867487184</v>
      </c>
      <c r="F158" s="56">
        <f t="shared" si="19"/>
        <v>2699.0790972845693</v>
      </c>
      <c r="G158" s="56">
        <f t="shared" si="20"/>
        <v>1040916.7759847065</v>
      </c>
      <c r="H158" s="3">
        <f t="shared" si="21"/>
        <v>5700</v>
      </c>
      <c r="I158" s="15">
        <f t="shared" si="22"/>
        <v>833.33333333333337</v>
      </c>
      <c r="J158" s="56">
        <f t="shared" si="23"/>
        <v>-1528.5519173666207</v>
      </c>
      <c r="K158" s="13">
        <f t="shared" si="24"/>
        <v>-178840.57433189492</v>
      </c>
    </row>
    <row r="159" spans="1:11" ht="22.05" customHeight="1" outlineLevel="1" x14ac:dyDescent="0.25">
      <c r="A159" s="55">
        <f t="shared" si="14"/>
        <v>118</v>
      </c>
      <c r="B159" s="55">
        <f t="shared" si="15"/>
        <v>10</v>
      </c>
      <c r="C159" s="56">
        <f t="shared" si="16"/>
        <v>1040916.7759847065</v>
      </c>
      <c r="D159" s="56">
        <f t="shared" si="17"/>
        <v>6395.2185840332877</v>
      </c>
      <c r="E159" s="15">
        <f t="shared" si="18"/>
        <v>3686.5802482791692</v>
      </c>
      <c r="F159" s="56">
        <f t="shared" si="19"/>
        <v>2708.6383357541185</v>
      </c>
      <c r="G159" s="56">
        <f t="shared" si="20"/>
        <v>1038208.1376489523</v>
      </c>
      <c r="H159" s="3">
        <f t="shared" si="21"/>
        <v>5700</v>
      </c>
      <c r="I159" s="15">
        <f t="shared" si="22"/>
        <v>833.33333333333337</v>
      </c>
      <c r="J159" s="56">
        <f t="shared" si="23"/>
        <v>-1528.5519173666207</v>
      </c>
      <c r="K159" s="13">
        <f t="shared" si="24"/>
        <v>-180369.12624926155</v>
      </c>
    </row>
    <row r="160" spans="1:11" ht="22.05" customHeight="1" outlineLevel="1" x14ac:dyDescent="0.25">
      <c r="A160" s="55">
        <f t="shared" si="14"/>
        <v>119</v>
      </c>
      <c r="B160" s="55">
        <f t="shared" si="15"/>
        <v>10</v>
      </c>
      <c r="C160" s="56">
        <f t="shared" si="16"/>
        <v>1038208.1376489523</v>
      </c>
      <c r="D160" s="56">
        <f t="shared" si="17"/>
        <v>6395.2185840332877</v>
      </c>
      <c r="E160" s="15">
        <f t="shared" si="18"/>
        <v>3676.9871541733733</v>
      </c>
      <c r="F160" s="56">
        <f t="shared" si="19"/>
        <v>2718.2314298599144</v>
      </c>
      <c r="G160" s="56">
        <f t="shared" si="20"/>
        <v>1035489.9062190924</v>
      </c>
      <c r="H160" s="3">
        <f t="shared" si="21"/>
        <v>5700</v>
      </c>
      <c r="I160" s="15">
        <f t="shared" si="22"/>
        <v>833.33333333333337</v>
      </c>
      <c r="J160" s="56">
        <f t="shared" si="23"/>
        <v>-1528.5519173666207</v>
      </c>
      <c r="K160" s="13">
        <f t="shared" si="24"/>
        <v>-181897.67816662817</v>
      </c>
    </row>
    <row r="161" spans="1:11" ht="22.05" customHeight="1" outlineLevel="1" x14ac:dyDescent="0.25">
      <c r="A161" s="55">
        <f t="shared" si="14"/>
        <v>120</v>
      </c>
      <c r="B161" s="55">
        <f t="shared" si="15"/>
        <v>10</v>
      </c>
      <c r="C161" s="56">
        <f t="shared" si="16"/>
        <v>1035489.9062190924</v>
      </c>
      <c r="D161" s="56">
        <f t="shared" si="17"/>
        <v>6395.2185840332877</v>
      </c>
      <c r="E161" s="15">
        <f t="shared" si="18"/>
        <v>3667.360084525953</v>
      </c>
      <c r="F161" s="56">
        <f t="shared" si="19"/>
        <v>2727.8584995073347</v>
      </c>
      <c r="G161" s="56">
        <f t="shared" si="20"/>
        <v>1032762.0477195851</v>
      </c>
      <c r="H161" s="3">
        <f t="shared" si="21"/>
        <v>5700</v>
      </c>
      <c r="I161" s="15">
        <f t="shared" si="22"/>
        <v>833.33333333333337</v>
      </c>
      <c r="J161" s="56">
        <f t="shared" si="23"/>
        <v>-1528.5519173666207</v>
      </c>
      <c r="K161" s="13">
        <f t="shared" si="24"/>
        <v>-183426.2300839948</v>
      </c>
    </row>
    <row r="162" spans="1:11" ht="22.05" customHeight="1" outlineLevel="1" x14ac:dyDescent="0.25">
      <c r="A162" s="55">
        <f t="shared" si="14"/>
        <v>121</v>
      </c>
      <c r="B162" s="55">
        <f t="shared" si="15"/>
        <v>11</v>
      </c>
      <c r="C162" s="56">
        <f t="shared" si="16"/>
        <v>1032762.0477195851</v>
      </c>
      <c r="D162" s="56">
        <f t="shared" si="17"/>
        <v>6395.2185840332877</v>
      </c>
      <c r="E162" s="15">
        <f t="shared" si="18"/>
        <v>3657.6989190068639</v>
      </c>
      <c r="F162" s="56">
        <f t="shared" si="19"/>
        <v>2737.5196650264238</v>
      </c>
      <c r="G162" s="56">
        <f t="shared" si="20"/>
        <v>1030024.5280545587</v>
      </c>
      <c r="H162" s="3">
        <f t="shared" si="21"/>
        <v>5700</v>
      </c>
      <c r="I162" s="15">
        <f t="shared" si="22"/>
        <v>833.33333333333337</v>
      </c>
      <c r="J162" s="56">
        <f t="shared" si="23"/>
        <v>-1528.5519173666207</v>
      </c>
      <c r="K162" s="13">
        <f t="shared" si="24"/>
        <v>-184954.78200136143</v>
      </c>
    </row>
    <row r="163" spans="1:11" ht="22.05" customHeight="1" outlineLevel="1" x14ac:dyDescent="0.25">
      <c r="A163" s="55">
        <f t="shared" si="14"/>
        <v>122</v>
      </c>
      <c r="B163" s="55">
        <f t="shared" si="15"/>
        <v>11</v>
      </c>
      <c r="C163" s="56">
        <f t="shared" si="16"/>
        <v>1030024.5280545587</v>
      </c>
      <c r="D163" s="56">
        <f t="shared" si="17"/>
        <v>6395.2185840332877</v>
      </c>
      <c r="E163" s="15">
        <f t="shared" si="18"/>
        <v>3648.0035368598951</v>
      </c>
      <c r="F163" s="56">
        <f t="shared" si="19"/>
        <v>2747.2150471733926</v>
      </c>
      <c r="G163" s="56">
        <f t="shared" si="20"/>
        <v>1027277.3130073852</v>
      </c>
      <c r="H163" s="3">
        <f t="shared" si="21"/>
        <v>5700</v>
      </c>
      <c r="I163" s="15">
        <f t="shared" si="22"/>
        <v>833.33333333333337</v>
      </c>
      <c r="J163" s="56">
        <f t="shared" si="23"/>
        <v>-1528.5519173666207</v>
      </c>
      <c r="K163" s="13">
        <f t="shared" si="24"/>
        <v>-186483.33391872805</v>
      </c>
    </row>
    <row r="164" spans="1:11" ht="22.05" customHeight="1" outlineLevel="1" x14ac:dyDescent="0.25">
      <c r="A164" s="55">
        <f t="shared" si="14"/>
        <v>123</v>
      </c>
      <c r="B164" s="55">
        <f t="shared" si="15"/>
        <v>11</v>
      </c>
      <c r="C164" s="56">
        <f t="shared" si="16"/>
        <v>1027277.3130073852</v>
      </c>
      <c r="D164" s="56">
        <f t="shared" si="17"/>
        <v>6395.2185840332877</v>
      </c>
      <c r="E164" s="15">
        <f t="shared" si="18"/>
        <v>3638.2738169011559</v>
      </c>
      <c r="F164" s="56">
        <f t="shared" si="19"/>
        <v>2756.9447671321318</v>
      </c>
      <c r="G164" s="56">
        <f t="shared" si="20"/>
        <v>1024520.3682402531</v>
      </c>
      <c r="H164" s="3">
        <f t="shared" si="21"/>
        <v>5700</v>
      </c>
      <c r="I164" s="15">
        <f t="shared" si="22"/>
        <v>833.33333333333337</v>
      </c>
      <c r="J164" s="56">
        <f t="shared" si="23"/>
        <v>-1528.5519173666207</v>
      </c>
      <c r="K164" s="13">
        <f t="shared" si="24"/>
        <v>-188011.88583609468</v>
      </c>
    </row>
    <row r="165" spans="1:11" ht="22.05" customHeight="1" outlineLevel="1" x14ac:dyDescent="0.25">
      <c r="A165" s="55">
        <f t="shared" si="14"/>
        <v>124</v>
      </c>
      <c r="B165" s="55">
        <f t="shared" si="15"/>
        <v>11</v>
      </c>
      <c r="C165" s="56">
        <f t="shared" si="16"/>
        <v>1024520.3682402531</v>
      </c>
      <c r="D165" s="56">
        <f t="shared" si="17"/>
        <v>6395.2185840332877</v>
      </c>
      <c r="E165" s="15">
        <f t="shared" si="18"/>
        <v>3628.5096375175631</v>
      </c>
      <c r="F165" s="56">
        <f t="shared" si="19"/>
        <v>2766.7089465157246</v>
      </c>
      <c r="G165" s="56">
        <f t="shared" si="20"/>
        <v>1021753.6592937374</v>
      </c>
      <c r="H165" s="3">
        <f t="shared" si="21"/>
        <v>5700</v>
      </c>
      <c r="I165" s="15">
        <f t="shared" si="22"/>
        <v>833.33333333333337</v>
      </c>
      <c r="J165" s="56">
        <f t="shared" si="23"/>
        <v>-1528.5519173666207</v>
      </c>
      <c r="K165" s="13">
        <f t="shared" si="24"/>
        <v>-189540.4377534613</v>
      </c>
    </row>
    <row r="166" spans="1:11" ht="22.05" customHeight="1" outlineLevel="1" x14ac:dyDescent="0.25">
      <c r="A166" s="55">
        <f t="shared" si="14"/>
        <v>125</v>
      </c>
      <c r="B166" s="55">
        <f t="shared" si="15"/>
        <v>11</v>
      </c>
      <c r="C166" s="56">
        <f t="shared" si="16"/>
        <v>1021753.6592937374</v>
      </c>
      <c r="D166" s="56">
        <f t="shared" si="17"/>
        <v>6395.2185840332877</v>
      </c>
      <c r="E166" s="15">
        <f t="shared" si="18"/>
        <v>3618.71087666532</v>
      </c>
      <c r="F166" s="56">
        <f t="shared" si="19"/>
        <v>2776.5077073679677</v>
      </c>
      <c r="G166" s="56">
        <f t="shared" si="20"/>
        <v>1018977.1515863694</v>
      </c>
      <c r="H166" s="3">
        <f t="shared" si="21"/>
        <v>5700</v>
      </c>
      <c r="I166" s="15">
        <f t="shared" si="22"/>
        <v>833.33333333333337</v>
      </c>
      <c r="J166" s="56">
        <f t="shared" si="23"/>
        <v>-1528.5519173666207</v>
      </c>
      <c r="K166" s="13">
        <f t="shared" si="24"/>
        <v>-191068.98967082793</v>
      </c>
    </row>
    <row r="167" spans="1:11" ht="22.05" customHeight="1" outlineLevel="1" x14ac:dyDescent="0.25">
      <c r="A167" s="55">
        <f t="shared" si="14"/>
        <v>126</v>
      </c>
      <c r="B167" s="55">
        <f t="shared" si="15"/>
        <v>11</v>
      </c>
      <c r="C167" s="56">
        <f t="shared" si="16"/>
        <v>1018977.1515863694</v>
      </c>
      <c r="D167" s="56">
        <f t="shared" si="17"/>
        <v>6395.2185840332877</v>
      </c>
      <c r="E167" s="15">
        <f t="shared" si="18"/>
        <v>3608.8774118683918</v>
      </c>
      <c r="F167" s="56">
        <f t="shared" si="19"/>
        <v>2786.3411721648959</v>
      </c>
      <c r="G167" s="56">
        <f t="shared" si="20"/>
        <v>1016190.8104142045</v>
      </c>
      <c r="H167" s="3">
        <f t="shared" si="21"/>
        <v>5700</v>
      </c>
      <c r="I167" s="15">
        <f t="shared" si="22"/>
        <v>833.33333333333337</v>
      </c>
      <c r="J167" s="56">
        <f t="shared" si="23"/>
        <v>-1528.5519173666207</v>
      </c>
      <c r="K167" s="13">
        <f t="shared" si="24"/>
        <v>-192597.54158819455</v>
      </c>
    </row>
    <row r="168" spans="1:11" ht="22.05" customHeight="1" outlineLevel="1" x14ac:dyDescent="0.25">
      <c r="A168" s="55">
        <f t="shared" si="14"/>
        <v>127</v>
      </c>
      <c r="B168" s="55">
        <f t="shared" si="15"/>
        <v>11</v>
      </c>
      <c r="C168" s="56">
        <f t="shared" si="16"/>
        <v>1016190.8104142045</v>
      </c>
      <c r="D168" s="56">
        <f t="shared" si="17"/>
        <v>6395.2185840332877</v>
      </c>
      <c r="E168" s="15">
        <f t="shared" si="18"/>
        <v>3599.0091202169747</v>
      </c>
      <c r="F168" s="56">
        <f t="shared" si="19"/>
        <v>2796.209463816313</v>
      </c>
      <c r="G168" s="56">
        <f t="shared" si="20"/>
        <v>1013394.6009503881</v>
      </c>
      <c r="H168" s="3">
        <f t="shared" si="21"/>
        <v>5700</v>
      </c>
      <c r="I168" s="15">
        <f t="shared" si="22"/>
        <v>833.33333333333337</v>
      </c>
      <c r="J168" s="56">
        <f t="shared" si="23"/>
        <v>-1528.5519173666207</v>
      </c>
      <c r="K168" s="13">
        <f t="shared" si="24"/>
        <v>-194126.09350556118</v>
      </c>
    </row>
    <row r="169" spans="1:11" ht="22.05" customHeight="1" outlineLevel="1" x14ac:dyDescent="0.25">
      <c r="A169" s="55">
        <f t="shared" si="14"/>
        <v>128</v>
      </c>
      <c r="B169" s="55">
        <f t="shared" si="15"/>
        <v>11</v>
      </c>
      <c r="C169" s="56">
        <f t="shared" si="16"/>
        <v>1013394.6009503881</v>
      </c>
      <c r="D169" s="56">
        <f t="shared" si="17"/>
        <v>6395.2185840332877</v>
      </c>
      <c r="E169" s="15">
        <f t="shared" si="18"/>
        <v>3589.1058783659578</v>
      </c>
      <c r="F169" s="56">
        <f t="shared" si="19"/>
        <v>2806.1127056673299</v>
      </c>
      <c r="G169" s="56">
        <f t="shared" si="20"/>
        <v>1010588.4882447207</v>
      </c>
      <c r="H169" s="3">
        <f t="shared" si="21"/>
        <v>5700</v>
      </c>
      <c r="I169" s="15">
        <f t="shared" si="22"/>
        <v>833.33333333333337</v>
      </c>
      <c r="J169" s="56">
        <f t="shared" si="23"/>
        <v>-1528.5519173666207</v>
      </c>
      <c r="K169" s="13">
        <f t="shared" si="24"/>
        <v>-195654.6454229278</v>
      </c>
    </row>
    <row r="170" spans="1:11" ht="22.05" customHeight="1" outlineLevel="1" x14ac:dyDescent="0.25">
      <c r="A170" s="55">
        <f t="shared" si="14"/>
        <v>129</v>
      </c>
      <c r="B170" s="55">
        <f t="shared" si="15"/>
        <v>11</v>
      </c>
      <c r="C170" s="56">
        <f t="shared" si="16"/>
        <v>1010588.4882447207</v>
      </c>
      <c r="D170" s="56">
        <f t="shared" si="17"/>
        <v>6395.2185840332877</v>
      </c>
      <c r="E170" s="15">
        <f t="shared" si="18"/>
        <v>3579.1675625333864</v>
      </c>
      <c r="F170" s="56">
        <f t="shared" si="19"/>
        <v>2816.0510214999013</v>
      </c>
      <c r="G170" s="56">
        <f t="shared" si="20"/>
        <v>1007772.4372232208</v>
      </c>
      <c r="H170" s="3">
        <f t="shared" si="21"/>
        <v>5700</v>
      </c>
      <c r="I170" s="15">
        <f t="shared" si="22"/>
        <v>833.33333333333337</v>
      </c>
      <c r="J170" s="56">
        <f t="shared" si="23"/>
        <v>-1528.5519173666207</v>
      </c>
      <c r="K170" s="13">
        <f t="shared" si="24"/>
        <v>-197183.19734029443</v>
      </c>
    </row>
    <row r="171" spans="1:11" ht="22.05" customHeight="1" outlineLevel="1" x14ac:dyDescent="0.25">
      <c r="A171" s="55">
        <f t="shared" si="14"/>
        <v>130</v>
      </c>
      <c r="B171" s="55">
        <f t="shared" si="15"/>
        <v>11</v>
      </c>
      <c r="C171" s="56">
        <f t="shared" si="16"/>
        <v>1007772.4372232208</v>
      </c>
      <c r="D171" s="56">
        <f t="shared" si="17"/>
        <v>6395.2185840332877</v>
      </c>
      <c r="E171" s="15">
        <f t="shared" si="18"/>
        <v>3569.1940484989077</v>
      </c>
      <c r="F171" s="56">
        <f t="shared" si="19"/>
        <v>2826.02453553438</v>
      </c>
      <c r="G171" s="56">
        <f t="shared" si="20"/>
        <v>1004946.4126876864</v>
      </c>
      <c r="H171" s="3">
        <f t="shared" si="21"/>
        <v>5700</v>
      </c>
      <c r="I171" s="15">
        <f t="shared" si="22"/>
        <v>833.33333333333337</v>
      </c>
      <c r="J171" s="56">
        <f t="shared" si="23"/>
        <v>-1528.5519173666207</v>
      </c>
      <c r="K171" s="13">
        <f t="shared" si="24"/>
        <v>-198711.74925766105</v>
      </c>
    </row>
    <row r="172" spans="1:11" ht="22.05" customHeight="1" outlineLevel="1" x14ac:dyDescent="0.25">
      <c r="A172" s="55">
        <f t="shared" ref="A172:A235" si="25">IF(A171&lt;360,A171+1,"")</f>
        <v>131</v>
      </c>
      <c r="B172" s="55">
        <f t="shared" ref="B172:B235" si="26">IF(A172="","",ROUNDUP(A172/12,0))</f>
        <v>11</v>
      </c>
      <c r="C172" s="56">
        <f t="shared" ref="C172:C235" si="27">IF(A172="","",G171)</f>
        <v>1004946.4126876864</v>
      </c>
      <c r="D172" s="56">
        <f t="shared" ref="D172:D235" si="28">IF(A172="","",IF(AND(A172&lt;=$G$8*12,$G$6&gt;0,C172&gt;0.01),IF($G$9="שפיצר",IFERROR(-PMT($G$7/12,$G$8*12,$G$6),0),IF($G$9="קרן שוה",$G$6/($G$8*12)+C172*$G$7/12,IF($G$9="בלון מלא",IF(A172=$G$8*12,C172+C172*$G$7/12,0),IF($G$9="בלון חלקי",C172*$G$7/12+IF(A172=$G$8*12,C172,0),0)))),0))</f>
        <v>6395.2185840332877</v>
      </c>
      <c r="E172" s="15">
        <f t="shared" ref="E172:E235" si="29">IF(A172="","",IF(AND(A172&lt;=$G$8*12,C172&gt;0.01),C172*$G$7/12,0))</f>
        <v>3559.1852116022233</v>
      </c>
      <c r="F172" s="56">
        <f t="shared" ref="F172:F235" si="30">IF(A172="","",D172-E172)</f>
        <v>2836.0333724310644</v>
      </c>
      <c r="G172" s="56">
        <f t="shared" ref="G172:G235" si="31">IF(A172="","",MAX(0,C172-F172))</f>
        <v>1002110.3793152553</v>
      </c>
      <c r="H172" s="3">
        <f t="shared" ref="H172:H235" si="32">IF(A172="","",$P$6*(1+$P$9)^(B172-1)*(1-$P$12))</f>
        <v>5700</v>
      </c>
      <c r="I172" s="15">
        <f t="shared" ref="I172:I235" si="33">IF(A172="","",$P$20/12*(1+$P$10)^(B172-1)-$P$13/12*(1+$P$9)^(B172-1)+$P$13/12*(1+$P$10)^(B172-1))</f>
        <v>833.33333333333337</v>
      </c>
      <c r="J172" s="56">
        <f t="shared" ref="J172:J235" si="34">IF(A172="","",H172-I172-D172)</f>
        <v>-1528.5519173666207</v>
      </c>
      <c r="K172" s="13">
        <f t="shared" ref="K172:K235" si="35">IF(A172="","",K171+J172)</f>
        <v>-200240.30117502768</v>
      </c>
    </row>
    <row r="173" spans="1:11" ht="22.05" customHeight="1" outlineLevel="1" x14ac:dyDescent="0.25">
      <c r="A173" s="55">
        <f t="shared" si="25"/>
        <v>132</v>
      </c>
      <c r="B173" s="55">
        <f t="shared" si="26"/>
        <v>11</v>
      </c>
      <c r="C173" s="56">
        <f t="shared" si="27"/>
        <v>1002110.3793152553</v>
      </c>
      <c r="D173" s="56">
        <f t="shared" si="28"/>
        <v>6395.2185840332877</v>
      </c>
      <c r="E173" s="15">
        <f t="shared" si="29"/>
        <v>3549.1409267415293</v>
      </c>
      <c r="F173" s="56">
        <f t="shared" si="30"/>
        <v>2846.0776572917584</v>
      </c>
      <c r="G173" s="56">
        <f t="shared" si="31"/>
        <v>999264.30165796354</v>
      </c>
      <c r="H173" s="3">
        <f t="shared" si="32"/>
        <v>5700</v>
      </c>
      <c r="I173" s="15">
        <f t="shared" si="33"/>
        <v>833.33333333333337</v>
      </c>
      <c r="J173" s="56">
        <f t="shared" si="34"/>
        <v>-1528.5519173666207</v>
      </c>
      <c r="K173" s="13">
        <f t="shared" si="35"/>
        <v>-201768.8530923943</v>
      </c>
    </row>
    <row r="174" spans="1:11" ht="22.05" customHeight="1" outlineLevel="1" x14ac:dyDescent="0.25">
      <c r="A174" s="55">
        <f t="shared" si="25"/>
        <v>133</v>
      </c>
      <c r="B174" s="55">
        <f t="shared" si="26"/>
        <v>12</v>
      </c>
      <c r="C174" s="56">
        <f t="shared" si="27"/>
        <v>999264.30165796354</v>
      </c>
      <c r="D174" s="56">
        <f t="shared" si="28"/>
        <v>6395.2185840332877</v>
      </c>
      <c r="E174" s="15">
        <f t="shared" si="29"/>
        <v>3539.0610683719547</v>
      </c>
      <c r="F174" s="56">
        <f t="shared" si="30"/>
        <v>2856.157515661333</v>
      </c>
      <c r="G174" s="56">
        <f t="shared" si="31"/>
        <v>996408.14414230222</v>
      </c>
      <c r="H174" s="3">
        <f t="shared" si="32"/>
        <v>5700</v>
      </c>
      <c r="I174" s="15">
        <f t="shared" si="33"/>
        <v>833.33333333333337</v>
      </c>
      <c r="J174" s="56">
        <f t="shared" si="34"/>
        <v>-1528.5519173666207</v>
      </c>
      <c r="K174" s="13">
        <f t="shared" si="35"/>
        <v>-203297.40500976093</v>
      </c>
    </row>
    <row r="175" spans="1:11" ht="22.05" customHeight="1" outlineLevel="1" x14ac:dyDescent="0.25">
      <c r="A175" s="55">
        <f t="shared" si="25"/>
        <v>134</v>
      </c>
      <c r="B175" s="55">
        <f t="shared" si="26"/>
        <v>12</v>
      </c>
      <c r="C175" s="56">
        <f t="shared" si="27"/>
        <v>996408.14414230222</v>
      </c>
      <c r="D175" s="56">
        <f t="shared" si="28"/>
        <v>6395.2185840332877</v>
      </c>
      <c r="E175" s="15">
        <f t="shared" si="29"/>
        <v>3528.9455105039874</v>
      </c>
      <c r="F175" s="56">
        <f t="shared" si="30"/>
        <v>2866.2730735293003</v>
      </c>
      <c r="G175" s="56">
        <f t="shared" si="31"/>
        <v>993541.87106877298</v>
      </c>
      <c r="H175" s="3">
        <f t="shared" si="32"/>
        <v>5700</v>
      </c>
      <c r="I175" s="15">
        <f t="shared" si="33"/>
        <v>833.33333333333337</v>
      </c>
      <c r="J175" s="56">
        <f t="shared" si="34"/>
        <v>-1528.5519173666207</v>
      </c>
      <c r="K175" s="13">
        <f t="shared" si="35"/>
        <v>-204825.95692712755</v>
      </c>
    </row>
    <row r="176" spans="1:11" ht="22.05" customHeight="1" outlineLevel="1" x14ac:dyDescent="0.25">
      <c r="A176" s="55">
        <f t="shared" si="25"/>
        <v>135</v>
      </c>
      <c r="B176" s="55">
        <f t="shared" si="26"/>
        <v>12</v>
      </c>
      <c r="C176" s="56">
        <f t="shared" si="27"/>
        <v>993541.87106877298</v>
      </c>
      <c r="D176" s="56">
        <f t="shared" si="28"/>
        <v>6395.2185840332877</v>
      </c>
      <c r="E176" s="15">
        <f t="shared" si="29"/>
        <v>3518.7941267019046</v>
      </c>
      <c r="F176" s="56">
        <f t="shared" si="30"/>
        <v>2876.4244573313831</v>
      </c>
      <c r="G176" s="56">
        <f t="shared" si="31"/>
        <v>990665.44661144156</v>
      </c>
      <c r="H176" s="3">
        <f t="shared" si="32"/>
        <v>5700</v>
      </c>
      <c r="I176" s="15">
        <f t="shared" si="33"/>
        <v>833.33333333333337</v>
      </c>
      <c r="J176" s="56">
        <f t="shared" si="34"/>
        <v>-1528.5519173666207</v>
      </c>
      <c r="K176" s="13">
        <f t="shared" si="35"/>
        <v>-206354.50884449418</v>
      </c>
    </row>
    <row r="177" spans="1:11" ht="22.05" customHeight="1" outlineLevel="1" x14ac:dyDescent="0.25">
      <c r="A177" s="55">
        <f t="shared" si="25"/>
        <v>136</v>
      </c>
      <c r="B177" s="55">
        <f t="shared" si="26"/>
        <v>12</v>
      </c>
      <c r="C177" s="56">
        <f t="shared" si="27"/>
        <v>990665.44661144156</v>
      </c>
      <c r="D177" s="56">
        <f t="shared" si="28"/>
        <v>6395.2185840332877</v>
      </c>
      <c r="E177" s="15">
        <f t="shared" si="29"/>
        <v>3508.606790082189</v>
      </c>
      <c r="F177" s="56">
        <f t="shared" si="30"/>
        <v>2886.6117939510987</v>
      </c>
      <c r="G177" s="56">
        <f t="shared" si="31"/>
        <v>987778.83481749042</v>
      </c>
      <c r="H177" s="3">
        <f t="shared" si="32"/>
        <v>5700</v>
      </c>
      <c r="I177" s="15">
        <f t="shared" si="33"/>
        <v>833.33333333333337</v>
      </c>
      <c r="J177" s="56">
        <f t="shared" si="34"/>
        <v>-1528.5519173666207</v>
      </c>
      <c r="K177" s="13">
        <f t="shared" si="35"/>
        <v>-207883.0607618608</v>
      </c>
    </row>
    <row r="178" spans="1:11" ht="22.05" customHeight="1" outlineLevel="1" x14ac:dyDescent="0.25">
      <c r="A178" s="55">
        <f t="shared" si="25"/>
        <v>137</v>
      </c>
      <c r="B178" s="55">
        <f t="shared" si="26"/>
        <v>12</v>
      </c>
      <c r="C178" s="56">
        <f t="shared" si="27"/>
        <v>987778.83481749042</v>
      </c>
      <c r="D178" s="56">
        <f t="shared" si="28"/>
        <v>6395.2185840332877</v>
      </c>
      <c r="E178" s="15">
        <f t="shared" si="29"/>
        <v>3498.3833733119459</v>
      </c>
      <c r="F178" s="56">
        <f t="shared" si="30"/>
        <v>2896.8352107213418</v>
      </c>
      <c r="G178" s="56">
        <f t="shared" si="31"/>
        <v>984881.99960676907</v>
      </c>
      <c r="H178" s="3">
        <f t="shared" si="32"/>
        <v>5700</v>
      </c>
      <c r="I178" s="15">
        <f t="shared" si="33"/>
        <v>833.33333333333337</v>
      </c>
      <c r="J178" s="56">
        <f t="shared" si="34"/>
        <v>-1528.5519173666207</v>
      </c>
      <c r="K178" s="13">
        <f t="shared" si="35"/>
        <v>-209411.61267922743</v>
      </c>
    </row>
    <row r="179" spans="1:11" ht="22.05" customHeight="1" outlineLevel="1" x14ac:dyDescent="0.25">
      <c r="A179" s="55">
        <f t="shared" si="25"/>
        <v>138</v>
      </c>
      <c r="B179" s="55">
        <f t="shared" si="26"/>
        <v>12</v>
      </c>
      <c r="C179" s="56">
        <f t="shared" si="27"/>
        <v>984881.99960676907</v>
      </c>
      <c r="D179" s="56">
        <f t="shared" si="28"/>
        <v>6395.2185840332877</v>
      </c>
      <c r="E179" s="15">
        <f t="shared" si="29"/>
        <v>3488.1237486073073</v>
      </c>
      <c r="F179" s="56">
        <f t="shared" si="30"/>
        <v>2907.0948354259804</v>
      </c>
      <c r="G179" s="56">
        <f t="shared" si="31"/>
        <v>981974.90477134311</v>
      </c>
      <c r="H179" s="3">
        <f t="shared" si="32"/>
        <v>5700</v>
      </c>
      <c r="I179" s="15">
        <f t="shared" si="33"/>
        <v>833.33333333333337</v>
      </c>
      <c r="J179" s="56">
        <f t="shared" si="34"/>
        <v>-1528.5519173666207</v>
      </c>
      <c r="K179" s="13">
        <f t="shared" si="35"/>
        <v>-210940.16459659406</v>
      </c>
    </row>
    <row r="180" spans="1:11" ht="22.05" customHeight="1" outlineLevel="1" x14ac:dyDescent="0.25">
      <c r="A180" s="55">
        <f t="shared" si="25"/>
        <v>139</v>
      </c>
      <c r="B180" s="55">
        <f t="shared" si="26"/>
        <v>12</v>
      </c>
      <c r="C180" s="56">
        <f t="shared" si="27"/>
        <v>981974.90477134311</v>
      </c>
      <c r="D180" s="56">
        <f t="shared" si="28"/>
        <v>6395.2185840332877</v>
      </c>
      <c r="E180" s="15">
        <f t="shared" si="29"/>
        <v>3477.8277877318401</v>
      </c>
      <c r="F180" s="56">
        <f t="shared" si="30"/>
        <v>2917.3907963014476</v>
      </c>
      <c r="G180" s="56">
        <f t="shared" si="31"/>
        <v>979057.51397504169</v>
      </c>
      <c r="H180" s="3">
        <f t="shared" si="32"/>
        <v>5700</v>
      </c>
      <c r="I180" s="15">
        <f t="shared" si="33"/>
        <v>833.33333333333337</v>
      </c>
      <c r="J180" s="56">
        <f t="shared" si="34"/>
        <v>-1528.5519173666207</v>
      </c>
      <c r="K180" s="13">
        <f t="shared" si="35"/>
        <v>-212468.71651396068</v>
      </c>
    </row>
    <row r="181" spans="1:11" ht="22.05" customHeight="1" outlineLevel="1" x14ac:dyDescent="0.25">
      <c r="A181" s="55">
        <f t="shared" si="25"/>
        <v>140</v>
      </c>
      <c r="B181" s="55">
        <f t="shared" si="26"/>
        <v>12</v>
      </c>
      <c r="C181" s="56">
        <f t="shared" si="27"/>
        <v>979057.51397504169</v>
      </c>
      <c r="D181" s="56">
        <f t="shared" si="28"/>
        <v>6395.2185840332877</v>
      </c>
      <c r="E181" s="15">
        <f t="shared" si="29"/>
        <v>3467.4953619949397</v>
      </c>
      <c r="F181" s="56">
        <f t="shared" si="30"/>
        <v>2927.723222038348</v>
      </c>
      <c r="G181" s="56">
        <f t="shared" si="31"/>
        <v>976129.79075300333</v>
      </c>
      <c r="H181" s="3">
        <f t="shared" si="32"/>
        <v>5700</v>
      </c>
      <c r="I181" s="15">
        <f t="shared" si="33"/>
        <v>833.33333333333337</v>
      </c>
      <c r="J181" s="56">
        <f t="shared" si="34"/>
        <v>-1528.5519173666207</v>
      </c>
      <c r="K181" s="13">
        <f t="shared" si="35"/>
        <v>-213997.26843132731</v>
      </c>
    </row>
    <row r="182" spans="1:11" ht="22.05" customHeight="1" outlineLevel="1" x14ac:dyDescent="0.25">
      <c r="A182" s="55">
        <f t="shared" si="25"/>
        <v>141</v>
      </c>
      <c r="B182" s="55">
        <f t="shared" si="26"/>
        <v>12</v>
      </c>
      <c r="C182" s="56">
        <f t="shared" si="27"/>
        <v>976129.79075300333</v>
      </c>
      <c r="D182" s="56">
        <f t="shared" si="28"/>
        <v>6395.2185840332877</v>
      </c>
      <c r="E182" s="15">
        <f t="shared" si="29"/>
        <v>3457.1263422502202</v>
      </c>
      <c r="F182" s="56">
        <f t="shared" si="30"/>
        <v>2938.0922417830675</v>
      </c>
      <c r="G182" s="56">
        <f t="shared" si="31"/>
        <v>973191.69851122028</v>
      </c>
      <c r="H182" s="3">
        <f t="shared" si="32"/>
        <v>5700</v>
      </c>
      <c r="I182" s="15">
        <f t="shared" si="33"/>
        <v>833.33333333333337</v>
      </c>
      <c r="J182" s="56">
        <f t="shared" si="34"/>
        <v>-1528.5519173666207</v>
      </c>
      <c r="K182" s="13">
        <f t="shared" si="35"/>
        <v>-215525.82034869393</v>
      </c>
    </row>
    <row r="183" spans="1:11" ht="22.05" customHeight="1" outlineLevel="1" x14ac:dyDescent="0.25">
      <c r="A183" s="55">
        <f t="shared" si="25"/>
        <v>142</v>
      </c>
      <c r="B183" s="55">
        <f t="shared" si="26"/>
        <v>12</v>
      </c>
      <c r="C183" s="56">
        <f t="shared" si="27"/>
        <v>973191.69851122028</v>
      </c>
      <c r="D183" s="56">
        <f t="shared" si="28"/>
        <v>6395.2185840332877</v>
      </c>
      <c r="E183" s="15">
        <f t="shared" si="29"/>
        <v>3446.7205988939054</v>
      </c>
      <c r="F183" s="56">
        <f t="shared" si="30"/>
        <v>2948.4979851393823</v>
      </c>
      <c r="G183" s="56">
        <f t="shared" si="31"/>
        <v>970243.20052608091</v>
      </c>
      <c r="H183" s="3">
        <f t="shared" si="32"/>
        <v>5700</v>
      </c>
      <c r="I183" s="15">
        <f t="shared" si="33"/>
        <v>833.33333333333337</v>
      </c>
      <c r="J183" s="56">
        <f t="shared" si="34"/>
        <v>-1528.5519173666207</v>
      </c>
      <c r="K183" s="13">
        <f t="shared" si="35"/>
        <v>-217054.37226606056</v>
      </c>
    </row>
    <row r="184" spans="1:11" ht="22.05" customHeight="1" outlineLevel="1" x14ac:dyDescent="0.25">
      <c r="A184" s="55">
        <f t="shared" si="25"/>
        <v>143</v>
      </c>
      <c r="B184" s="55">
        <f t="shared" si="26"/>
        <v>12</v>
      </c>
      <c r="C184" s="56">
        <f t="shared" si="27"/>
        <v>970243.20052608091</v>
      </c>
      <c r="D184" s="56">
        <f t="shared" si="28"/>
        <v>6395.2185840332877</v>
      </c>
      <c r="E184" s="15">
        <f t="shared" si="29"/>
        <v>3436.2780018632034</v>
      </c>
      <c r="F184" s="56">
        <f t="shared" si="30"/>
        <v>2958.9405821700843</v>
      </c>
      <c r="G184" s="56">
        <f t="shared" si="31"/>
        <v>967284.25994391087</v>
      </c>
      <c r="H184" s="3">
        <f t="shared" si="32"/>
        <v>5700</v>
      </c>
      <c r="I184" s="15">
        <f t="shared" si="33"/>
        <v>833.33333333333337</v>
      </c>
      <c r="J184" s="56">
        <f t="shared" si="34"/>
        <v>-1528.5519173666207</v>
      </c>
      <c r="K184" s="13">
        <f t="shared" si="35"/>
        <v>-218582.92418342718</v>
      </c>
    </row>
    <row r="185" spans="1:11" ht="22.05" customHeight="1" outlineLevel="1" x14ac:dyDescent="0.25">
      <c r="A185" s="55">
        <f t="shared" si="25"/>
        <v>144</v>
      </c>
      <c r="B185" s="55">
        <f t="shared" si="26"/>
        <v>12</v>
      </c>
      <c r="C185" s="56">
        <f t="shared" si="27"/>
        <v>967284.25994391087</v>
      </c>
      <c r="D185" s="56">
        <f t="shared" si="28"/>
        <v>6395.2185840332877</v>
      </c>
      <c r="E185" s="15">
        <f t="shared" si="29"/>
        <v>3425.7984206346846</v>
      </c>
      <c r="F185" s="56">
        <f t="shared" si="30"/>
        <v>2969.4201633986031</v>
      </c>
      <c r="G185" s="56">
        <f t="shared" si="31"/>
        <v>964314.83978051227</v>
      </c>
      <c r="H185" s="3">
        <f t="shared" si="32"/>
        <v>5700</v>
      </c>
      <c r="I185" s="15">
        <f t="shared" si="33"/>
        <v>833.33333333333337</v>
      </c>
      <c r="J185" s="56">
        <f t="shared" si="34"/>
        <v>-1528.5519173666207</v>
      </c>
      <c r="K185" s="13">
        <f t="shared" si="35"/>
        <v>-220111.47610079381</v>
      </c>
    </row>
    <row r="186" spans="1:11" ht="22.05" customHeight="1" outlineLevel="1" x14ac:dyDescent="0.25">
      <c r="A186" s="55">
        <f t="shared" si="25"/>
        <v>145</v>
      </c>
      <c r="B186" s="55">
        <f t="shared" si="26"/>
        <v>13</v>
      </c>
      <c r="C186" s="56">
        <f t="shared" si="27"/>
        <v>964314.83978051227</v>
      </c>
      <c r="D186" s="56">
        <f t="shared" si="28"/>
        <v>6395.2185840332877</v>
      </c>
      <c r="E186" s="15">
        <f t="shared" si="29"/>
        <v>3415.2817242226479</v>
      </c>
      <c r="F186" s="56">
        <f t="shared" si="30"/>
        <v>2979.9368598106398</v>
      </c>
      <c r="G186" s="56">
        <f t="shared" si="31"/>
        <v>961334.90292070166</v>
      </c>
      <c r="H186" s="3">
        <f t="shared" si="32"/>
        <v>5700</v>
      </c>
      <c r="I186" s="15">
        <f t="shared" si="33"/>
        <v>833.33333333333337</v>
      </c>
      <c r="J186" s="56">
        <f t="shared" si="34"/>
        <v>-1528.5519173666207</v>
      </c>
      <c r="K186" s="13">
        <f t="shared" si="35"/>
        <v>-221640.02801816043</v>
      </c>
    </row>
    <row r="187" spans="1:11" ht="22.05" customHeight="1" outlineLevel="1" x14ac:dyDescent="0.25">
      <c r="A187" s="55">
        <f t="shared" si="25"/>
        <v>146</v>
      </c>
      <c r="B187" s="55">
        <f t="shared" si="26"/>
        <v>13</v>
      </c>
      <c r="C187" s="56">
        <f t="shared" si="27"/>
        <v>961334.90292070166</v>
      </c>
      <c r="D187" s="56">
        <f t="shared" si="28"/>
        <v>6395.2185840332877</v>
      </c>
      <c r="E187" s="15">
        <f t="shared" si="29"/>
        <v>3404.7277811774852</v>
      </c>
      <c r="F187" s="56">
        <f t="shared" si="30"/>
        <v>2990.4908028558025</v>
      </c>
      <c r="G187" s="56">
        <f t="shared" si="31"/>
        <v>958344.41211784584</v>
      </c>
      <c r="H187" s="3">
        <f t="shared" si="32"/>
        <v>5700</v>
      </c>
      <c r="I187" s="15">
        <f t="shared" si="33"/>
        <v>833.33333333333337</v>
      </c>
      <c r="J187" s="56">
        <f t="shared" si="34"/>
        <v>-1528.5519173666207</v>
      </c>
      <c r="K187" s="13">
        <f t="shared" si="35"/>
        <v>-223168.57993552706</v>
      </c>
    </row>
    <row r="188" spans="1:11" ht="22.05" customHeight="1" outlineLevel="1" x14ac:dyDescent="0.25">
      <c r="A188" s="55">
        <f t="shared" si="25"/>
        <v>147</v>
      </c>
      <c r="B188" s="55">
        <f t="shared" si="26"/>
        <v>13</v>
      </c>
      <c r="C188" s="56">
        <f t="shared" si="27"/>
        <v>958344.41211784584</v>
      </c>
      <c r="D188" s="56">
        <f t="shared" si="28"/>
        <v>6395.2185840332877</v>
      </c>
      <c r="E188" s="15">
        <f t="shared" si="29"/>
        <v>3394.1364595840373</v>
      </c>
      <c r="F188" s="56">
        <f t="shared" si="30"/>
        <v>3001.0821244492504</v>
      </c>
      <c r="G188" s="56">
        <f t="shared" si="31"/>
        <v>955343.32999339665</v>
      </c>
      <c r="H188" s="3">
        <f t="shared" si="32"/>
        <v>5700</v>
      </c>
      <c r="I188" s="15">
        <f t="shared" si="33"/>
        <v>833.33333333333337</v>
      </c>
      <c r="J188" s="56">
        <f t="shared" si="34"/>
        <v>-1528.5519173666207</v>
      </c>
      <c r="K188" s="13">
        <f t="shared" si="35"/>
        <v>-224697.13185289368</v>
      </c>
    </row>
    <row r="189" spans="1:11" ht="22.05" customHeight="1" outlineLevel="1" x14ac:dyDescent="0.25">
      <c r="A189" s="55">
        <f t="shared" si="25"/>
        <v>148</v>
      </c>
      <c r="B189" s="55">
        <f t="shared" si="26"/>
        <v>13</v>
      </c>
      <c r="C189" s="56">
        <f t="shared" si="27"/>
        <v>955343.32999339665</v>
      </c>
      <c r="D189" s="56">
        <f t="shared" si="28"/>
        <v>6395.2185840332877</v>
      </c>
      <c r="E189" s="15">
        <f t="shared" si="29"/>
        <v>3383.507627059947</v>
      </c>
      <c r="F189" s="56">
        <f t="shared" si="30"/>
        <v>3011.7109569733407</v>
      </c>
      <c r="G189" s="56">
        <f t="shared" si="31"/>
        <v>952331.61903642328</v>
      </c>
      <c r="H189" s="3">
        <f t="shared" si="32"/>
        <v>5700</v>
      </c>
      <c r="I189" s="15">
        <f t="shared" si="33"/>
        <v>833.33333333333337</v>
      </c>
      <c r="J189" s="56">
        <f t="shared" si="34"/>
        <v>-1528.5519173666207</v>
      </c>
      <c r="K189" s="13">
        <f t="shared" si="35"/>
        <v>-226225.68377026031</v>
      </c>
    </row>
    <row r="190" spans="1:11" ht="22.05" customHeight="1" outlineLevel="1" x14ac:dyDescent="0.25">
      <c r="A190" s="55">
        <f t="shared" si="25"/>
        <v>149</v>
      </c>
      <c r="B190" s="55">
        <f t="shared" si="26"/>
        <v>13</v>
      </c>
      <c r="C190" s="56">
        <f t="shared" si="27"/>
        <v>952331.61903642328</v>
      </c>
      <c r="D190" s="56">
        <f t="shared" si="28"/>
        <v>6395.2185840332877</v>
      </c>
      <c r="E190" s="15">
        <f t="shared" si="29"/>
        <v>3372.841150753999</v>
      </c>
      <c r="F190" s="56">
        <f t="shared" si="30"/>
        <v>3022.3774332792887</v>
      </c>
      <c r="G190" s="56">
        <f t="shared" si="31"/>
        <v>949309.24160314398</v>
      </c>
      <c r="H190" s="3">
        <f t="shared" si="32"/>
        <v>5700</v>
      </c>
      <c r="I190" s="15">
        <f t="shared" si="33"/>
        <v>833.33333333333337</v>
      </c>
      <c r="J190" s="56">
        <f t="shared" si="34"/>
        <v>-1528.5519173666207</v>
      </c>
      <c r="K190" s="13">
        <f t="shared" si="35"/>
        <v>-227754.23568762693</v>
      </c>
    </row>
    <row r="191" spans="1:11" ht="22.05" customHeight="1" outlineLevel="1" x14ac:dyDescent="0.25">
      <c r="A191" s="55">
        <f t="shared" si="25"/>
        <v>150</v>
      </c>
      <c r="B191" s="55">
        <f t="shared" si="26"/>
        <v>13</v>
      </c>
      <c r="C191" s="56">
        <f t="shared" si="27"/>
        <v>949309.24160314398</v>
      </c>
      <c r="D191" s="56">
        <f t="shared" si="28"/>
        <v>6395.2185840332877</v>
      </c>
      <c r="E191" s="15">
        <f t="shared" si="29"/>
        <v>3362.1368973444683</v>
      </c>
      <c r="F191" s="56">
        <f t="shared" si="30"/>
        <v>3033.0816866888194</v>
      </c>
      <c r="G191" s="56">
        <f t="shared" si="31"/>
        <v>946276.15991645516</v>
      </c>
      <c r="H191" s="3">
        <f t="shared" si="32"/>
        <v>5700</v>
      </c>
      <c r="I191" s="15">
        <f t="shared" si="33"/>
        <v>833.33333333333337</v>
      </c>
      <c r="J191" s="56">
        <f t="shared" si="34"/>
        <v>-1528.5519173666207</v>
      </c>
      <c r="K191" s="13">
        <f t="shared" si="35"/>
        <v>-229282.78760499356</v>
      </c>
    </row>
    <row r="192" spans="1:11" ht="22.05" customHeight="1" outlineLevel="1" x14ac:dyDescent="0.25">
      <c r="A192" s="55">
        <f t="shared" si="25"/>
        <v>151</v>
      </c>
      <c r="B192" s="55">
        <f t="shared" si="26"/>
        <v>13</v>
      </c>
      <c r="C192" s="56">
        <f t="shared" si="27"/>
        <v>946276.15991645516</v>
      </c>
      <c r="D192" s="56">
        <f t="shared" si="28"/>
        <v>6395.2185840332877</v>
      </c>
      <c r="E192" s="15">
        <f t="shared" si="29"/>
        <v>3351.3947330374453</v>
      </c>
      <c r="F192" s="56">
        <f t="shared" si="30"/>
        <v>3043.8238509958423</v>
      </c>
      <c r="G192" s="56">
        <f t="shared" si="31"/>
        <v>943232.3360654593</v>
      </c>
      <c r="H192" s="3">
        <f t="shared" si="32"/>
        <v>5700</v>
      </c>
      <c r="I192" s="15">
        <f t="shared" si="33"/>
        <v>833.33333333333337</v>
      </c>
      <c r="J192" s="56">
        <f t="shared" si="34"/>
        <v>-1528.5519173666207</v>
      </c>
      <c r="K192" s="13">
        <f t="shared" si="35"/>
        <v>-230811.33952236018</v>
      </c>
    </row>
    <row r="193" spans="1:11" ht="22.05" customHeight="1" outlineLevel="1" x14ac:dyDescent="0.25">
      <c r="A193" s="55">
        <f t="shared" si="25"/>
        <v>152</v>
      </c>
      <c r="B193" s="55">
        <f t="shared" si="26"/>
        <v>13</v>
      </c>
      <c r="C193" s="56">
        <f t="shared" si="27"/>
        <v>943232.3360654593</v>
      </c>
      <c r="D193" s="56">
        <f t="shared" si="28"/>
        <v>6395.2185840332877</v>
      </c>
      <c r="E193" s="15">
        <f t="shared" si="29"/>
        <v>3340.6145235651688</v>
      </c>
      <c r="F193" s="56">
        <f t="shared" si="30"/>
        <v>3054.6040604681189</v>
      </c>
      <c r="G193" s="56">
        <f t="shared" si="31"/>
        <v>940177.73200499115</v>
      </c>
      <c r="H193" s="3">
        <f t="shared" si="32"/>
        <v>5700</v>
      </c>
      <c r="I193" s="15">
        <f t="shared" si="33"/>
        <v>833.33333333333337</v>
      </c>
      <c r="J193" s="56">
        <f t="shared" si="34"/>
        <v>-1528.5519173666207</v>
      </c>
      <c r="K193" s="13">
        <f t="shared" si="35"/>
        <v>-232339.89143972681</v>
      </c>
    </row>
    <row r="194" spans="1:11" ht="22.05" customHeight="1" outlineLevel="1" x14ac:dyDescent="0.25">
      <c r="A194" s="55">
        <f t="shared" si="25"/>
        <v>153</v>
      </c>
      <c r="B194" s="55">
        <f t="shared" si="26"/>
        <v>13</v>
      </c>
      <c r="C194" s="56">
        <f t="shared" si="27"/>
        <v>940177.73200499115</v>
      </c>
      <c r="D194" s="56">
        <f t="shared" si="28"/>
        <v>6395.2185840332877</v>
      </c>
      <c r="E194" s="15">
        <f t="shared" si="29"/>
        <v>3329.7961341843438</v>
      </c>
      <c r="F194" s="56">
        <f t="shared" si="30"/>
        <v>3065.4224498489439</v>
      </c>
      <c r="G194" s="56">
        <f t="shared" si="31"/>
        <v>937112.30955514219</v>
      </c>
      <c r="H194" s="3">
        <f t="shared" si="32"/>
        <v>5700</v>
      </c>
      <c r="I194" s="15">
        <f t="shared" si="33"/>
        <v>833.33333333333337</v>
      </c>
      <c r="J194" s="56">
        <f t="shared" si="34"/>
        <v>-1528.5519173666207</v>
      </c>
      <c r="K194" s="13">
        <f t="shared" si="35"/>
        <v>-233868.44335709343</v>
      </c>
    </row>
    <row r="195" spans="1:11" ht="22.05" customHeight="1" outlineLevel="1" x14ac:dyDescent="0.25">
      <c r="A195" s="55">
        <f t="shared" si="25"/>
        <v>154</v>
      </c>
      <c r="B195" s="55">
        <f t="shared" si="26"/>
        <v>13</v>
      </c>
      <c r="C195" s="56">
        <f t="shared" si="27"/>
        <v>937112.30955514219</v>
      </c>
      <c r="D195" s="56">
        <f t="shared" si="28"/>
        <v>6395.2185840332877</v>
      </c>
      <c r="E195" s="15">
        <f t="shared" si="29"/>
        <v>3318.9394296744617</v>
      </c>
      <c r="F195" s="56">
        <f t="shared" si="30"/>
        <v>3076.279154358826</v>
      </c>
      <c r="G195" s="56">
        <f t="shared" si="31"/>
        <v>934036.03040078341</v>
      </c>
      <c r="H195" s="3">
        <f t="shared" si="32"/>
        <v>5700</v>
      </c>
      <c r="I195" s="15">
        <f t="shared" si="33"/>
        <v>833.33333333333337</v>
      </c>
      <c r="J195" s="56">
        <f t="shared" si="34"/>
        <v>-1528.5519173666207</v>
      </c>
      <c r="K195" s="13">
        <f t="shared" si="35"/>
        <v>-235396.99527446006</v>
      </c>
    </row>
    <row r="196" spans="1:11" ht="22.05" customHeight="1" outlineLevel="1" x14ac:dyDescent="0.25">
      <c r="A196" s="55">
        <f t="shared" si="25"/>
        <v>155</v>
      </c>
      <c r="B196" s="55">
        <f t="shared" si="26"/>
        <v>13</v>
      </c>
      <c r="C196" s="56">
        <f t="shared" si="27"/>
        <v>934036.03040078341</v>
      </c>
      <c r="D196" s="56">
        <f t="shared" si="28"/>
        <v>6395.2185840332877</v>
      </c>
      <c r="E196" s="15">
        <f t="shared" si="29"/>
        <v>3308.0442743361077</v>
      </c>
      <c r="F196" s="56">
        <f t="shared" si="30"/>
        <v>3087.17430969718</v>
      </c>
      <c r="G196" s="56">
        <f t="shared" si="31"/>
        <v>930948.85609108617</v>
      </c>
      <c r="H196" s="3">
        <f t="shared" si="32"/>
        <v>5700</v>
      </c>
      <c r="I196" s="15">
        <f t="shared" si="33"/>
        <v>833.33333333333337</v>
      </c>
      <c r="J196" s="56">
        <f t="shared" si="34"/>
        <v>-1528.5519173666207</v>
      </c>
      <c r="K196" s="13">
        <f t="shared" si="35"/>
        <v>-236925.54719182668</v>
      </c>
    </row>
    <row r="197" spans="1:11" ht="22.05" customHeight="1" outlineLevel="1" x14ac:dyDescent="0.25">
      <c r="A197" s="55">
        <f t="shared" si="25"/>
        <v>156</v>
      </c>
      <c r="B197" s="55">
        <f t="shared" si="26"/>
        <v>13</v>
      </c>
      <c r="C197" s="56">
        <f t="shared" si="27"/>
        <v>930948.85609108617</v>
      </c>
      <c r="D197" s="56">
        <f t="shared" si="28"/>
        <v>6395.2185840332877</v>
      </c>
      <c r="E197" s="15">
        <f t="shared" si="29"/>
        <v>3297.1105319892636</v>
      </c>
      <c r="F197" s="56">
        <f t="shared" si="30"/>
        <v>3098.1080520440241</v>
      </c>
      <c r="G197" s="56">
        <f t="shared" si="31"/>
        <v>927850.74803904211</v>
      </c>
      <c r="H197" s="3">
        <f t="shared" si="32"/>
        <v>5700</v>
      </c>
      <c r="I197" s="15">
        <f t="shared" si="33"/>
        <v>833.33333333333337</v>
      </c>
      <c r="J197" s="56">
        <f t="shared" si="34"/>
        <v>-1528.5519173666207</v>
      </c>
      <c r="K197" s="13">
        <f t="shared" si="35"/>
        <v>-238454.09910919331</v>
      </c>
    </row>
    <row r="198" spans="1:11" ht="22.05" customHeight="1" outlineLevel="1" x14ac:dyDescent="0.25">
      <c r="A198" s="55">
        <f t="shared" si="25"/>
        <v>157</v>
      </c>
      <c r="B198" s="55">
        <f t="shared" si="26"/>
        <v>14</v>
      </c>
      <c r="C198" s="56">
        <f t="shared" si="27"/>
        <v>927850.74803904211</v>
      </c>
      <c r="D198" s="56">
        <f t="shared" si="28"/>
        <v>6395.2185840332877</v>
      </c>
      <c r="E198" s="15">
        <f t="shared" si="29"/>
        <v>3286.1380659716074</v>
      </c>
      <c r="F198" s="56">
        <f t="shared" si="30"/>
        <v>3109.0805180616803</v>
      </c>
      <c r="G198" s="56">
        <f t="shared" si="31"/>
        <v>924741.66752098047</v>
      </c>
      <c r="H198" s="3">
        <f t="shared" si="32"/>
        <v>5700</v>
      </c>
      <c r="I198" s="15">
        <f t="shared" si="33"/>
        <v>833.33333333333337</v>
      </c>
      <c r="J198" s="56">
        <f t="shared" si="34"/>
        <v>-1528.5519173666207</v>
      </c>
      <c r="K198" s="13">
        <f t="shared" si="35"/>
        <v>-239982.65102655994</v>
      </c>
    </row>
    <row r="199" spans="1:11" ht="22.05" customHeight="1" outlineLevel="1" x14ac:dyDescent="0.25">
      <c r="A199" s="55">
        <f t="shared" si="25"/>
        <v>158</v>
      </c>
      <c r="B199" s="55">
        <f t="shared" si="26"/>
        <v>14</v>
      </c>
      <c r="C199" s="56">
        <f t="shared" si="27"/>
        <v>924741.66752098047</v>
      </c>
      <c r="D199" s="56">
        <f t="shared" si="28"/>
        <v>6395.2185840332877</v>
      </c>
      <c r="E199" s="15">
        <f t="shared" si="29"/>
        <v>3275.126739136806</v>
      </c>
      <c r="F199" s="56">
        <f t="shared" si="30"/>
        <v>3120.0918448964817</v>
      </c>
      <c r="G199" s="56">
        <f t="shared" si="31"/>
        <v>921621.57567608403</v>
      </c>
      <c r="H199" s="3">
        <f t="shared" si="32"/>
        <v>5700</v>
      </c>
      <c r="I199" s="15">
        <f t="shared" si="33"/>
        <v>833.33333333333337</v>
      </c>
      <c r="J199" s="56">
        <f t="shared" si="34"/>
        <v>-1528.5519173666207</v>
      </c>
      <c r="K199" s="13">
        <f t="shared" si="35"/>
        <v>-241511.20294392656</v>
      </c>
    </row>
    <row r="200" spans="1:11" ht="22.05" customHeight="1" outlineLevel="1" x14ac:dyDescent="0.25">
      <c r="A200" s="55">
        <f t="shared" si="25"/>
        <v>159</v>
      </c>
      <c r="B200" s="55">
        <f t="shared" si="26"/>
        <v>14</v>
      </c>
      <c r="C200" s="56">
        <f t="shared" si="27"/>
        <v>921621.57567608403</v>
      </c>
      <c r="D200" s="56">
        <f t="shared" si="28"/>
        <v>6395.2185840332877</v>
      </c>
      <c r="E200" s="15">
        <f t="shared" si="29"/>
        <v>3264.0764138527979</v>
      </c>
      <c r="F200" s="56">
        <f t="shared" si="30"/>
        <v>3131.1421701804898</v>
      </c>
      <c r="G200" s="56">
        <f t="shared" si="31"/>
        <v>918490.43350590358</v>
      </c>
      <c r="H200" s="3">
        <f t="shared" si="32"/>
        <v>5700</v>
      </c>
      <c r="I200" s="15">
        <f t="shared" si="33"/>
        <v>833.33333333333337</v>
      </c>
      <c r="J200" s="56">
        <f t="shared" si="34"/>
        <v>-1528.5519173666207</v>
      </c>
      <c r="K200" s="13">
        <f t="shared" si="35"/>
        <v>-243039.75486129319</v>
      </c>
    </row>
    <row r="201" spans="1:11" ht="22.05" customHeight="1" outlineLevel="1" x14ac:dyDescent="0.25">
      <c r="A201" s="55">
        <f t="shared" si="25"/>
        <v>160</v>
      </c>
      <c r="B201" s="55">
        <f t="shared" si="26"/>
        <v>14</v>
      </c>
      <c r="C201" s="56">
        <f t="shared" si="27"/>
        <v>918490.43350590358</v>
      </c>
      <c r="D201" s="56">
        <f t="shared" si="28"/>
        <v>6395.2185840332877</v>
      </c>
      <c r="E201" s="15">
        <f t="shared" si="29"/>
        <v>3252.9869520000757</v>
      </c>
      <c r="F201" s="56">
        <f t="shared" si="30"/>
        <v>3142.231632033212</v>
      </c>
      <c r="G201" s="56">
        <f t="shared" si="31"/>
        <v>915348.20187387033</v>
      </c>
      <c r="H201" s="3">
        <f t="shared" si="32"/>
        <v>5700</v>
      </c>
      <c r="I201" s="15">
        <f t="shared" si="33"/>
        <v>833.33333333333337</v>
      </c>
      <c r="J201" s="56">
        <f t="shared" si="34"/>
        <v>-1528.5519173666207</v>
      </c>
      <c r="K201" s="13">
        <f t="shared" si="35"/>
        <v>-244568.30677865981</v>
      </c>
    </row>
    <row r="202" spans="1:11" ht="22.05" customHeight="1" outlineLevel="1" x14ac:dyDescent="0.25">
      <c r="A202" s="55">
        <f t="shared" si="25"/>
        <v>161</v>
      </c>
      <c r="B202" s="55">
        <f t="shared" si="26"/>
        <v>14</v>
      </c>
      <c r="C202" s="56">
        <f t="shared" si="27"/>
        <v>915348.20187387033</v>
      </c>
      <c r="D202" s="56">
        <f t="shared" si="28"/>
        <v>6395.2185840332877</v>
      </c>
      <c r="E202" s="15">
        <f t="shared" si="29"/>
        <v>3241.8582149699578</v>
      </c>
      <c r="F202" s="56">
        <f t="shared" si="30"/>
        <v>3153.3603690633299</v>
      </c>
      <c r="G202" s="56">
        <f t="shared" si="31"/>
        <v>912194.841504807</v>
      </c>
      <c r="H202" s="3">
        <f t="shared" si="32"/>
        <v>5700</v>
      </c>
      <c r="I202" s="15">
        <f t="shared" si="33"/>
        <v>833.33333333333337</v>
      </c>
      <c r="J202" s="56">
        <f t="shared" si="34"/>
        <v>-1528.5519173666207</v>
      </c>
      <c r="K202" s="13">
        <f t="shared" si="35"/>
        <v>-246096.85869602644</v>
      </c>
    </row>
    <row r="203" spans="1:11" ht="22.05" customHeight="1" outlineLevel="1" x14ac:dyDescent="0.25">
      <c r="A203" s="55">
        <f t="shared" si="25"/>
        <v>162</v>
      </c>
      <c r="B203" s="55">
        <f t="shared" si="26"/>
        <v>14</v>
      </c>
      <c r="C203" s="56">
        <f t="shared" si="27"/>
        <v>912194.841504807</v>
      </c>
      <c r="D203" s="56">
        <f t="shared" si="28"/>
        <v>6395.2185840332877</v>
      </c>
      <c r="E203" s="15">
        <f t="shared" si="29"/>
        <v>3230.6900636628584</v>
      </c>
      <c r="F203" s="56">
        <f t="shared" si="30"/>
        <v>3164.5285203704293</v>
      </c>
      <c r="G203" s="56">
        <f t="shared" si="31"/>
        <v>909030.31298443652</v>
      </c>
      <c r="H203" s="3">
        <f t="shared" si="32"/>
        <v>5700</v>
      </c>
      <c r="I203" s="15">
        <f t="shared" si="33"/>
        <v>833.33333333333337</v>
      </c>
      <c r="J203" s="56">
        <f t="shared" si="34"/>
        <v>-1528.5519173666207</v>
      </c>
      <c r="K203" s="13">
        <f t="shared" si="35"/>
        <v>-247625.41061339306</v>
      </c>
    </row>
    <row r="204" spans="1:11" ht="22.05" customHeight="1" outlineLevel="1" x14ac:dyDescent="0.25">
      <c r="A204" s="55">
        <f t="shared" si="25"/>
        <v>163</v>
      </c>
      <c r="B204" s="55">
        <f t="shared" si="26"/>
        <v>14</v>
      </c>
      <c r="C204" s="56">
        <f t="shared" si="27"/>
        <v>909030.31298443652</v>
      </c>
      <c r="D204" s="56">
        <f t="shared" si="28"/>
        <v>6395.2185840332877</v>
      </c>
      <c r="E204" s="15">
        <f t="shared" si="29"/>
        <v>3219.4823584865462</v>
      </c>
      <c r="F204" s="56">
        <f t="shared" si="30"/>
        <v>3175.7362255467415</v>
      </c>
      <c r="G204" s="56">
        <f t="shared" si="31"/>
        <v>905854.57675888983</v>
      </c>
      <c r="H204" s="3">
        <f t="shared" si="32"/>
        <v>5700</v>
      </c>
      <c r="I204" s="15">
        <f t="shared" si="33"/>
        <v>833.33333333333337</v>
      </c>
      <c r="J204" s="56">
        <f t="shared" si="34"/>
        <v>-1528.5519173666207</v>
      </c>
      <c r="K204" s="13">
        <f t="shared" si="35"/>
        <v>-249153.96253075969</v>
      </c>
    </row>
    <row r="205" spans="1:11" ht="22.05" customHeight="1" outlineLevel="1" x14ac:dyDescent="0.25">
      <c r="A205" s="55">
        <f t="shared" si="25"/>
        <v>164</v>
      </c>
      <c r="B205" s="55">
        <f t="shared" si="26"/>
        <v>14</v>
      </c>
      <c r="C205" s="56">
        <f t="shared" si="27"/>
        <v>905854.57675888983</v>
      </c>
      <c r="D205" s="56">
        <f t="shared" si="28"/>
        <v>6395.2185840332877</v>
      </c>
      <c r="E205" s="15">
        <f t="shared" si="29"/>
        <v>3208.2349593544018</v>
      </c>
      <c r="F205" s="56">
        <f t="shared" si="30"/>
        <v>3186.9836246788859</v>
      </c>
      <c r="G205" s="56">
        <f t="shared" si="31"/>
        <v>902667.59313421091</v>
      </c>
      <c r="H205" s="3">
        <f t="shared" si="32"/>
        <v>5700</v>
      </c>
      <c r="I205" s="15">
        <f t="shared" si="33"/>
        <v>833.33333333333337</v>
      </c>
      <c r="J205" s="56">
        <f t="shared" si="34"/>
        <v>-1528.5519173666207</v>
      </c>
      <c r="K205" s="13">
        <f t="shared" si="35"/>
        <v>-250682.51444812631</v>
      </c>
    </row>
    <row r="206" spans="1:11" ht="22.05" customHeight="1" outlineLevel="1" x14ac:dyDescent="0.25">
      <c r="A206" s="55">
        <f t="shared" si="25"/>
        <v>165</v>
      </c>
      <c r="B206" s="55">
        <f t="shared" si="26"/>
        <v>14</v>
      </c>
      <c r="C206" s="56">
        <f t="shared" si="27"/>
        <v>902667.59313421091</v>
      </c>
      <c r="D206" s="56">
        <f t="shared" si="28"/>
        <v>6395.2185840332877</v>
      </c>
      <c r="E206" s="15">
        <f t="shared" si="29"/>
        <v>3196.947725683664</v>
      </c>
      <c r="F206" s="56">
        <f t="shared" si="30"/>
        <v>3198.2708583496237</v>
      </c>
      <c r="G206" s="56">
        <f t="shared" si="31"/>
        <v>899469.32227586128</v>
      </c>
      <c r="H206" s="3">
        <f t="shared" si="32"/>
        <v>5700</v>
      </c>
      <c r="I206" s="15">
        <f t="shared" si="33"/>
        <v>833.33333333333337</v>
      </c>
      <c r="J206" s="56">
        <f t="shared" si="34"/>
        <v>-1528.5519173666207</v>
      </c>
      <c r="K206" s="13">
        <f t="shared" si="35"/>
        <v>-252211.06636549294</v>
      </c>
    </row>
    <row r="207" spans="1:11" ht="22.05" customHeight="1" outlineLevel="1" x14ac:dyDescent="0.25">
      <c r="A207" s="55">
        <f t="shared" si="25"/>
        <v>166</v>
      </c>
      <c r="B207" s="55">
        <f t="shared" si="26"/>
        <v>14</v>
      </c>
      <c r="C207" s="56">
        <f t="shared" si="27"/>
        <v>899469.32227586128</v>
      </c>
      <c r="D207" s="56">
        <f t="shared" si="28"/>
        <v>6395.2185840332877</v>
      </c>
      <c r="E207" s="15">
        <f t="shared" si="29"/>
        <v>3185.6205163936756</v>
      </c>
      <c r="F207" s="56">
        <f t="shared" si="30"/>
        <v>3209.5980676396121</v>
      </c>
      <c r="G207" s="56">
        <f t="shared" si="31"/>
        <v>896259.72420822165</v>
      </c>
      <c r="H207" s="3">
        <f t="shared" si="32"/>
        <v>5700</v>
      </c>
      <c r="I207" s="15">
        <f t="shared" si="33"/>
        <v>833.33333333333337</v>
      </c>
      <c r="J207" s="56">
        <f t="shared" si="34"/>
        <v>-1528.5519173666207</v>
      </c>
      <c r="K207" s="13">
        <f t="shared" si="35"/>
        <v>-253739.61828285956</v>
      </c>
    </row>
    <row r="208" spans="1:11" ht="22.05" customHeight="1" outlineLevel="1" x14ac:dyDescent="0.25">
      <c r="A208" s="55">
        <f t="shared" si="25"/>
        <v>167</v>
      </c>
      <c r="B208" s="55">
        <f t="shared" si="26"/>
        <v>14</v>
      </c>
      <c r="C208" s="56">
        <f t="shared" si="27"/>
        <v>896259.72420822165</v>
      </c>
      <c r="D208" s="56">
        <f t="shared" si="28"/>
        <v>6395.2185840332877</v>
      </c>
      <c r="E208" s="15">
        <f t="shared" si="29"/>
        <v>3174.2531899041187</v>
      </c>
      <c r="F208" s="56">
        <f t="shared" si="30"/>
        <v>3220.965394129169</v>
      </c>
      <c r="G208" s="56">
        <f t="shared" si="31"/>
        <v>893038.75881409249</v>
      </c>
      <c r="H208" s="3">
        <f t="shared" si="32"/>
        <v>5700</v>
      </c>
      <c r="I208" s="15">
        <f t="shared" si="33"/>
        <v>833.33333333333337</v>
      </c>
      <c r="J208" s="56">
        <f t="shared" si="34"/>
        <v>-1528.5519173666207</v>
      </c>
      <c r="K208" s="13">
        <f t="shared" si="35"/>
        <v>-255268.17020022619</v>
      </c>
    </row>
    <row r="209" spans="1:11" ht="22.05" customHeight="1" outlineLevel="1" x14ac:dyDescent="0.25">
      <c r="A209" s="55">
        <f t="shared" si="25"/>
        <v>168</v>
      </c>
      <c r="B209" s="55">
        <f t="shared" si="26"/>
        <v>14</v>
      </c>
      <c r="C209" s="56">
        <f t="shared" si="27"/>
        <v>893038.75881409249</v>
      </c>
      <c r="D209" s="56">
        <f t="shared" si="28"/>
        <v>6395.2185840332877</v>
      </c>
      <c r="E209" s="15">
        <f t="shared" si="29"/>
        <v>3162.8456041332447</v>
      </c>
      <c r="F209" s="56">
        <f t="shared" si="30"/>
        <v>3232.372979900043</v>
      </c>
      <c r="G209" s="56">
        <f t="shared" si="31"/>
        <v>889806.38583419239</v>
      </c>
      <c r="H209" s="3">
        <f t="shared" si="32"/>
        <v>5700</v>
      </c>
      <c r="I209" s="15">
        <f t="shared" si="33"/>
        <v>833.33333333333337</v>
      </c>
      <c r="J209" s="56">
        <f t="shared" si="34"/>
        <v>-1528.5519173666207</v>
      </c>
      <c r="K209" s="13">
        <f t="shared" si="35"/>
        <v>-256796.72211759281</v>
      </c>
    </row>
    <row r="210" spans="1:11" ht="22.05" customHeight="1" outlineLevel="1" x14ac:dyDescent="0.25">
      <c r="A210" s="55">
        <f t="shared" si="25"/>
        <v>169</v>
      </c>
      <c r="B210" s="55">
        <f t="shared" si="26"/>
        <v>15</v>
      </c>
      <c r="C210" s="56">
        <f t="shared" si="27"/>
        <v>889806.38583419239</v>
      </c>
      <c r="D210" s="56">
        <f t="shared" si="28"/>
        <v>6395.2185840332877</v>
      </c>
      <c r="E210" s="15">
        <f t="shared" si="29"/>
        <v>3151.3976164960982</v>
      </c>
      <c r="F210" s="56">
        <f t="shared" si="30"/>
        <v>3243.8209675371895</v>
      </c>
      <c r="G210" s="56">
        <f t="shared" si="31"/>
        <v>886562.56486665516</v>
      </c>
      <c r="H210" s="3">
        <f t="shared" si="32"/>
        <v>5700</v>
      </c>
      <c r="I210" s="15">
        <f t="shared" si="33"/>
        <v>833.33333333333337</v>
      </c>
      <c r="J210" s="56">
        <f t="shared" si="34"/>
        <v>-1528.5519173666207</v>
      </c>
      <c r="K210" s="13">
        <f t="shared" si="35"/>
        <v>-258325.27403495944</v>
      </c>
    </row>
    <row r="211" spans="1:11" ht="22.05" customHeight="1" outlineLevel="1" x14ac:dyDescent="0.25">
      <c r="A211" s="55">
        <f t="shared" si="25"/>
        <v>170</v>
      </c>
      <c r="B211" s="55">
        <f t="shared" si="26"/>
        <v>15</v>
      </c>
      <c r="C211" s="56">
        <f t="shared" si="27"/>
        <v>886562.56486665516</v>
      </c>
      <c r="D211" s="56">
        <f t="shared" si="28"/>
        <v>6395.2185840332877</v>
      </c>
      <c r="E211" s="15">
        <f t="shared" si="29"/>
        <v>3139.9090839027372</v>
      </c>
      <c r="F211" s="56">
        <f t="shared" si="30"/>
        <v>3255.3095001305505</v>
      </c>
      <c r="G211" s="56">
        <f t="shared" si="31"/>
        <v>883307.25536652457</v>
      </c>
      <c r="H211" s="3">
        <f t="shared" si="32"/>
        <v>5700</v>
      </c>
      <c r="I211" s="15">
        <f t="shared" si="33"/>
        <v>833.33333333333337</v>
      </c>
      <c r="J211" s="56">
        <f t="shared" si="34"/>
        <v>-1528.5519173666207</v>
      </c>
      <c r="K211" s="13">
        <f t="shared" si="35"/>
        <v>-259853.82595232606</v>
      </c>
    </row>
    <row r="212" spans="1:11" ht="22.05" customHeight="1" outlineLevel="1" x14ac:dyDescent="0.25">
      <c r="A212" s="55">
        <f t="shared" si="25"/>
        <v>171</v>
      </c>
      <c r="B212" s="55">
        <f t="shared" si="26"/>
        <v>15</v>
      </c>
      <c r="C212" s="56">
        <f t="shared" si="27"/>
        <v>883307.25536652457</v>
      </c>
      <c r="D212" s="56">
        <f t="shared" si="28"/>
        <v>6395.2185840332877</v>
      </c>
      <c r="E212" s="15">
        <f t="shared" si="29"/>
        <v>3128.3798627564415</v>
      </c>
      <c r="F212" s="56">
        <f t="shared" si="30"/>
        <v>3266.8387212768462</v>
      </c>
      <c r="G212" s="56">
        <f t="shared" si="31"/>
        <v>880040.41664524772</v>
      </c>
      <c r="H212" s="3">
        <f t="shared" si="32"/>
        <v>5700</v>
      </c>
      <c r="I212" s="15">
        <f t="shared" si="33"/>
        <v>833.33333333333337</v>
      </c>
      <c r="J212" s="56">
        <f t="shared" si="34"/>
        <v>-1528.5519173666207</v>
      </c>
      <c r="K212" s="13">
        <f t="shared" si="35"/>
        <v>-261382.37786969269</v>
      </c>
    </row>
    <row r="213" spans="1:11" ht="22.05" customHeight="1" outlineLevel="1" x14ac:dyDescent="0.25">
      <c r="A213" s="55">
        <f t="shared" si="25"/>
        <v>172</v>
      </c>
      <c r="B213" s="55">
        <f t="shared" si="26"/>
        <v>15</v>
      </c>
      <c r="C213" s="56">
        <f t="shared" si="27"/>
        <v>880040.41664524772</v>
      </c>
      <c r="D213" s="56">
        <f t="shared" si="28"/>
        <v>6395.2185840332877</v>
      </c>
      <c r="E213" s="15">
        <f t="shared" si="29"/>
        <v>3116.809808951919</v>
      </c>
      <c r="F213" s="56">
        <f t="shared" si="30"/>
        <v>3278.4087750813687</v>
      </c>
      <c r="G213" s="56">
        <f t="shared" si="31"/>
        <v>876762.00787016633</v>
      </c>
      <c r="H213" s="3">
        <f t="shared" si="32"/>
        <v>5700</v>
      </c>
      <c r="I213" s="15">
        <f t="shared" si="33"/>
        <v>833.33333333333337</v>
      </c>
      <c r="J213" s="56">
        <f t="shared" si="34"/>
        <v>-1528.5519173666207</v>
      </c>
      <c r="K213" s="13">
        <f t="shared" si="35"/>
        <v>-262910.92978705931</v>
      </c>
    </row>
    <row r="214" spans="1:11" ht="22.05" customHeight="1" outlineLevel="1" x14ac:dyDescent="0.25">
      <c r="A214" s="55">
        <f t="shared" si="25"/>
        <v>173</v>
      </c>
      <c r="B214" s="55">
        <f t="shared" si="26"/>
        <v>15</v>
      </c>
      <c r="C214" s="56">
        <f t="shared" si="27"/>
        <v>876762.00787016633</v>
      </c>
      <c r="D214" s="56">
        <f t="shared" si="28"/>
        <v>6395.2185840332877</v>
      </c>
      <c r="E214" s="15">
        <f t="shared" si="29"/>
        <v>3105.1987778735061</v>
      </c>
      <c r="F214" s="56">
        <f t="shared" si="30"/>
        <v>3290.0198061597816</v>
      </c>
      <c r="G214" s="56">
        <f t="shared" si="31"/>
        <v>873471.98806400655</v>
      </c>
      <c r="H214" s="3">
        <f t="shared" si="32"/>
        <v>5700</v>
      </c>
      <c r="I214" s="15">
        <f t="shared" si="33"/>
        <v>833.33333333333337</v>
      </c>
      <c r="J214" s="56">
        <f t="shared" si="34"/>
        <v>-1528.5519173666207</v>
      </c>
      <c r="K214" s="13">
        <f t="shared" si="35"/>
        <v>-264439.48170442594</v>
      </c>
    </row>
    <row r="215" spans="1:11" ht="22.05" customHeight="1" outlineLevel="1" x14ac:dyDescent="0.25">
      <c r="A215" s="55">
        <f t="shared" si="25"/>
        <v>174</v>
      </c>
      <c r="B215" s="55">
        <f t="shared" si="26"/>
        <v>15</v>
      </c>
      <c r="C215" s="56">
        <f t="shared" si="27"/>
        <v>873471.98806400655</v>
      </c>
      <c r="D215" s="56">
        <f t="shared" si="28"/>
        <v>6395.2185840332877</v>
      </c>
      <c r="E215" s="15">
        <f t="shared" si="29"/>
        <v>3093.546624393357</v>
      </c>
      <c r="F215" s="56">
        <f t="shared" si="30"/>
        <v>3301.6719596399307</v>
      </c>
      <c r="G215" s="56">
        <f t="shared" si="31"/>
        <v>870170.31610436668</v>
      </c>
      <c r="H215" s="3">
        <f t="shared" si="32"/>
        <v>5700</v>
      </c>
      <c r="I215" s="15">
        <f t="shared" si="33"/>
        <v>833.33333333333337</v>
      </c>
      <c r="J215" s="56">
        <f t="shared" si="34"/>
        <v>-1528.5519173666207</v>
      </c>
      <c r="K215" s="13">
        <f t="shared" si="35"/>
        <v>-265968.03362179257</v>
      </c>
    </row>
    <row r="216" spans="1:11" ht="22.05" customHeight="1" outlineLevel="1" x14ac:dyDescent="0.25">
      <c r="A216" s="55">
        <f t="shared" si="25"/>
        <v>175</v>
      </c>
      <c r="B216" s="55">
        <f t="shared" si="26"/>
        <v>15</v>
      </c>
      <c r="C216" s="56">
        <f t="shared" si="27"/>
        <v>870170.31610436668</v>
      </c>
      <c r="D216" s="56">
        <f t="shared" si="28"/>
        <v>6395.2185840332877</v>
      </c>
      <c r="E216" s="15">
        <f t="shared" si="29"/>
        <v>3081.8532028696322</v>
      </c>
      <c r="F216" s="56">
        <f t="shared" si="30"/>
        <v>3313.3653811636555</v>
      </c>
      <c r="G216" s="56">
        <f t="shared" si="31"/>
        <v>866856.95072320302</v>
      </c>
      <c r="H216" s="3">
        <f t="shared" si="32"/>
        <v>5700</v>
      </c>
      <c r="I216" s="15">
        <f t="shared" si="33"/>
        <v>833.33333333333337</v>
      </c>
      <c r="J216" s="56">
        <f t="shared" si="34"/>
        <v>-1528.5519173666207</v>
      </c>
      <c r="K216" s="13">
        <f t="shared" si="35"/>
        <v>-267496.58553915919</v>
      </c>
    </row>
    <row r="217" spans="1:11" ht="22.05" customHeight="1" outlineLevel="1" x14ac:dyDescent="0.25">
      <c r="A217" s="55">
        <f t="shared" si="25"/>
        <v>176</v>
      </c>
      <c r="B217" s="55">
        <f t="shared" si="26"/>
        <v>15</v>
      </c>
      <c r="C217" s="56">
        <f t="shared" si="27"/>
        <v>866856.95072320302</v>
      </c>
      <c r="D217" s="56">
        <f t="shared" si="28"/>
        <v>6395.2185840332877</v>
      </c>
      <c r="E217" s="15">
        <f t="shared" si="29"/>
        <v>3070.1183671446774</v>
      </c>
      <c r="F217" s="56">
        <f t="shared" si="30"/>
        <v>3325.1002168886102</v>
      </c>
      <c r="G217" s="56">
        <f t="shared" si="31"/>
        <v>863531.85050631443</v>
      </c>
      <c r="H217" s="3">
        <f t="shared" si="32"/>
        <v>5700</v>
      </c>
      <c r="I217" s="15">
        <f t="shared" si="33"/>
        <v>833.33333333333337</v>
      </c>
      <c r="J217" s="56">
        <f t="shared" si="34"/>
        <v>-1528.5519173666207</v>
      </c>
      <c r="K217" s="13">
        <f t="shared" si="35"/>
        <v>-269025.13745652582</v>
      </c>
    </row>
    <row r="218" spans="1:11" ht="22.05" customHeight="1" outlineLevel="1" x14ac:dyDescent="0.25">
      <c r="A218" s="55">
        <f t="shared" si="25"/>
        <v>177</v>
      </c>
      <c r="B218" s="55">
        <f t="shared" si="26"/>
        <v>15</v>
      </c>
      <c r="C218" s="56">
        <f t="shared" si="27"/>
        <v>863531.85050631443</v>
      </c>
      <c r="D218" s="56">
        <f t="shared" si="28"/>
        <v>6395.2185840332877</v>
      </c>
      <c r="E218" s="15">
        <f t="shared" si="29"/>
        <v>3058.341970543197</v>
      </c>
      <c r="F218" s="56">
        <f t="shared" si="30"/>
        <v>3336.8766134900907</v>
      </c>
      <c r="G218" s="56">
        <f t="shared" si="31"/>
        <v>860194.97389282438</v>
      </c>
      <c r="H218" s="3">
        <f t="shared" si="32"/>
        <v>5700</v>
      </c>
      <c r="I218" s="15">
        <f t="shared" si="33"/>
        <v>833.33333333333337</v>
      </c>
      <c r="J218" s="56">
        <f t="shared" si="34"/>
        <v>-1528.5519173666207</v>
      </c>
      <c r="K218" s="13">
        <f t="shared" si="35"/>
        <v>-270553.68937389244</v>
      </c>
    </row>
    <row r="219" spans="1:11" ht="22.05" customHeight="1" outlineLevel="1" x14ac:dyDescent="0.25">
      <c r="A219" s="55">
        <f t="shared" si="25"/>
        <v>178</v>
      </c>
      <c r="B219" s="55">
        <f t="shared" si="26"/>
        <v>15</v>
      </c>
      <c r="C219" s="56">
        <f t="shared" si="27"/>
        <v>860194.97389282438</v>
      </c>
      <c r="D219" s="56">
        <f t="shared" si="28"/>
        <v>6395.2185840332877</v>
      </c>
      <c r="E219" s="15">
        <f t="shared" si="29"/>
        <v>3046.5238658704197</v>
      </c>
      <c r="F219" s="56">
        <f t="shared" si="30"/>
        <v>3348.694718162868</v>
      </c>
      <c r="G219" s="56">
        <f t="shared" si="31"/>
        <v>856846.2791746615</v>
      </c>
      <c r="H219" s="3">
        <f t="shared" si="32"/>
        <v>5700</v>
      </c>
      <c r="I219" s="15">
        <f t="shared" si="33"/>
        <v>833.33333333333337</v>
      </c>
      <c r="J219" s="56">
        <f t="shared" si="34"/>
        <v>-1528.5519173666207</v>
      </c>
      <c r="K219" s="13">
        <f t="shared" si="35"/>
        <v>-272082.24129125907</v>
      </c>
    </row>
    <row r="220" spans="1:11" ht="22.05" customHeight="1" outlineLevel="1" x14ac:dyDescent="0.25">
      <c r="A220" s="55">
        <f t="shared" si="25"/>
        <v>179</v>
      </c>
      <c r="B220" s="55">
        <f t="shared" si="26"/>
        <v>15</v>
      </c>
      <c r="C220" s="56">
        <f t="shared" si="27"/>
        <v>856846.2791746615</v>
      </c>
      <c r="D220" s="56">
        <f t="shared" si="28"/>
        <v>6395.2185840332877</v>
      </c>
      <c r="E220" s="15">
        <f t="shared" si="29"/>
        <v>3034.6639054102598</v>
      </c>
      <c r="F220" s="56">
        <f t="shared" si="30"/>
        <v>3360.5546786230279</v>
      </c>
      <c r="G220" s="56">
        <f t="shared" si="31"/>
        <v>853485.72449603851</v>
      </c>
      <c r="H220" s="3">
        <f t="shared" si="32"/>
        <v>5700</v>
      </c>
      <c r="I220" s="15">
        <f t="shared" si="33"/>
        <v>833.33333333333337</v>
      </c>
      <c r="J220" s="56">
        <f t="shared" si="34"/>
        <v>-1528.5519173666207</v>
      </c>
      <c r="K220" s="13">
        <f t="shared" si="35"/>
        <v>-273610.79320862569</v>
      </c>
    </row>
    <row r="221" spans="1:11" ht="22.05" customHeight="1" outlineLevel="1" x14ac:dyDescent="0.25">
      <c r="A221" s="55">
        <f t="shared" si="25"/>
        <v>180</v>
      </c>
      <c r="B221" s="55">
        <f t="shared" si="26"/>
        <v>15</v>
      </c>
      <c r="C221" s="56">
        <f t="shared" si="27"/>
        <v>853485.72449603851</v>
      </c>
      <c r="D221" s="56">
        <f t="shared" si="28"/>
        <v>6395.2185840332877</v>
      </c>
      <c r="E221" s="15">
        <f t="shared" si="29"/>
        <v>3022.7619409234699</v>
      </c>
      <c r="F221" s="56">
        <f t="shared" si="30"/>
        <v>3372.4566431098178</v>
      </c>
      <c r="G221" s="56">
        <f t="shared" si="31"/>
        <v>850113.26785292872</v>
      </c>
      <c r="H221" s="3">
        <f t="shared" si="32"/>
        <v>5700</v>
      </c>
      <c r="I221" s="15">
        <f t="shared" si="33"/>
        <v>833.33333333333337</v>
      </c>
      <c r="J221" s="56">
        <f t="shared" si="34"/>
        <v>-1528.5519173666207</v>
      </c>
      <c r="K221" s="13">
        <f t="shared" si="35"/>
        <v>-275139.34512599232</v>
      </c>
    </row>
    <row r="222" spans="1:11" ht="22.05" customHeight="1" outlineLevel="1" x14ac:dyDescent="0.25">
      <c r="A222" s="55">
        <f t="shared" si="25"/>
        <v>181</v>
      </c>
      <c r="B222" s="55">
        <f t="shared" si="26"/>
        <v>16</v>
      </c>
      <c r="C222" s="56">
        <f t="shared" si="27"/>
        <v>850113.26785292872</v>
      </c>
      <c r="D222" s="56">
        <f t="shared" si="28"/>
        <v>6395.2185840332877</v>
      </c>
      <c r="E222" s="15">
        <f t="shared" si="29"/>
        <v>3010.8178236457893</v>
      </c>
      <c r="F222" s="56">
        <f t="shared" si="30"/>
        <v>3384.4007603874984</v>
      </c>
      <c r="G222" s="56">
        <f t="shared" si="31"/>
        <v>846728.86709254119</v>
      </c>
      <c r="H222" s="3">
        <f t="shared" si="32"/>
        <v>5700</v>
      </c>
      <c r="I222" s="15">
        <f t="shared" si="33"/>
        <v>833.33333333333337</v>
      </c>
      <c r="J222" s="56">
        <f t="shared" si="34"/>
        <v>-1528.5519173666207</v>
      </c>
      <c r="K222" s="13">
        <f t="shared" si="35"/>
        <v>-276667.89704335894</v>
      </c>
    </row>
    <row r="223" spans="1:11" ht="22.05" customHeight="1" outlineLevel="1" x14ac:dyDescent="0.25">
      <c r="A223" s="55">
        <f t="shared" si="25"/>
        <v>182</v>
      </c>
      <c r="B223" s="55">
        <f t="shared" si="26"/>
        <v>16</v>
      </c>
      <c r="C223" s="56">
        <f t="shared" si="27"/>
        <v>846728.86709254119</v>
      </c>
      <c r="D223" s="56">
        <f t="shared" si="28"/>
        <v>6395.2185840332877</v>
      </c>
      <c r="E223" s="15">
        <f t="shared" si="29"/>
        <v>2998.8314042860839</v>
      </c>
      <c r="F223" s="56">
        <f t="shared" si="30"/>
        <v>3396.3871797472038</v>
      </c>
      <c r="G223" s="56">
        <f t="shared" si="31"/>
        <v>843332.47991279396</v>
      </c>
      <c r="H223" s="3">
        <f t="shared" si="32"/>
        <v>5700</v>
      </c>
      <c r="I223" s="15">
        <f t="shared" si="33"/>
        <v>833.33333333333337</v>
      </c>
      <c r="J223" s="56">
        <f t="shared" si="34"/>
        <v>-1528.5519173666207</v>
      </c>
      <c r="K223" s="13">
        <f t="shared" si="35"/>
        <v>-278196.44896072557</v>
      </c>
    </row>
    <row r="224" spans="1:11" ht="22.05" customHeight="1" outlineLevel="1" x14ac:dyDescent="0.25">
      <c r="A224" s="55">
        <f t="shared" si="25"/>
        <v>183</v>
      </c>
      <c r="B224" s="55">
        <f t="shared" si="26"/>
        <v>16</v>
      </c>
      <c r="C224" s="56">
        <f t="shared" si="27"/>
        <v>843332.47991279396</v>
      </c>
      <c r="D224" s="56">
        <f t="shared" si="28"/>
        <v>6395.2185840332877</v>
      </c>
      <c r="E224" s="15">
        <f t="shared" si="29"/>
        <v>2986.8025330244786</v>
      </c>
      <c r="F224" s="56">
        <f t="shared" si="30"/>
        <v>3408.4160510088091</v>
      </c>
      <c r="G224" s="56">
        <f t="shared" si="31"/>
        <v>839924.06386178511</v>
      </c>
      <c r="H224" s="3">
        <f t="shared" si="32"/>
        <v>5700</v>
      </c>
      <c r="I224" s="15">
        <f t="shared" si="33"/>
        <v>833.33333333333337</v>
      </c>
      <c r="J224" s="56">
        <f t="shared" si="34"/>
        <v>-1528.5519173666207</v>
      </c>
      <c r="K224" s="13">
        <f t="shared" si="35"/>
        <v>-279725.00087809219</v>
      </c>
    </row>
    <row r="225" spans="1:11" ht="22.05" customHeight="1" outlineLevel="1" x14ac:dyDescent="0.25">
      <c r="A225" s="55">
        <f t="shared" si="25"/>
        <v>184</v>
      </c>
      <c r="B225" s="55">
        <f t="shared" si="26"/>
        <v>16</v>
      </c>
      <c r="C225" s="56">
        <f t="shared" si="27"/>
        <v>839924.06386178511</v>
      </c>
      <c r="D225" s="56">
        <f t="shared" si="28"/>
        <v>6395.2185840332877</v>
      </c>
      <c r="E225" s="15">
        <f t="shared" si="29"/>
        <v>2974.7310595104896</v>
      </c>
      <c r="F225" s="56">
        <f t="shared" si="30"/>
        <v>3420.4875245227981</v>
      </c>
      <c r="G225" s="56">
        <f t="shared" si="31"/>
        <v>836503.57633726229</v>
      </c>
      <c r="H225" s="3">
        <f t="shared" si="32"/>
        <v>5700</v>
      </c>
      <c r="I225" s="15">
        <f t="shared" si="33"/>
        <v>833.33333333333337</v>
      </c>
      <c r="J225" s="56">
        <f t="shared" si="34"/>
        <v>-1528.5519173666207</v>
      </c>
      <c r="K225" s="13">
        <f t="shared" si="35"/>
        <v>-281253.55279545882</v>
      </c>
    </row>
    <row r="226" spans="1:11" ht="22.05" customHeight="1" outlineLevel="1" x14ac:dyDescent="0.25">
      <c r="A226" s="55">
        <f t="shared" si="25"/>
        <v>185</v>
      </c>
      <c r="B226" s="55">
        <f t="shared" si="26"/>
        <v>16</v>
      </c>
      <c r="C226" s="56">
        <f t="shared" si="27"/>
        <v>836503.57633726229</v>
      </c>
      <c r="D226" s="56">
        <f t="shared" si="28"/>
        <v>6395.2185840332877</v>
      </c>
      <c r="E226" s="15">
        <f t="shared" si="29"/>
        <v>2962.6168328611379</v>
      </c>
      <c r="F226" s="56">
        <f t="shared" si="30"/>
        <v>3432.6017511721498</v>
      </c>
      <c r="G226" s="56">
        <f t="shared" si="31"/>
        <v>833070.97458609019</v>
      </c>
      <c r="H226" s="3">
        <f t="shared" si="32"/>
        <v>5700</v>
      </c>
      <c r="I226" s="15">
        <f t="shared" si="33"/>
        <v>833.33333333333337</v>
      </c>
      <c r="J226" s="56">
        <f t="shared" si="34"/>
        <v>-1528.5519173666207</v>
      </c>
      <c r="K226" s="13">
        <f t="shared" si="35"/>
        <v>-282782.10471282544</v>
      </c>
    </row>
    <row r="227" spans="1:11" ht="22.05" customHeight="1" outlineLevel="1" x14ac:dyDescent="0.25">
      <c r="A227" s="55">
        <f t="shared" si="25"/>
        <v>186</v>
      </c>
      <c r="B227" s="55">
        <f t="shared" si="26"/>
        <v>16</v>
      </c>
      <c r="C227" s="56">
        <f t="shared" si="27"/>
        <v>833070.97458609019</v>
      </c>
      <c r="D227" s="56">
        <f t="shared" si="28"/>
        <v>6395.2185840332877</v>
      </c>
      <c r="E227" s="15">
        <f t="shared" si="29"/>
        <v>2950.4597016590692</v>
      </c>
      <c r="F227" s="56">
        <f t="shared" si="30"/>
        <v>3444.7588823742185</v>
      </c>
      <c r="G227" s="56">
        <f t="shared" si="31"/>
        <v>829626.21570371592</v>
      </c>
      <c r="H227" s="3">
        <f t="shared" si="32"/>
        <v>5700</v>
      </c>
      <c r="I227" s="15">
        <f t="shared" si="33"/>
        <v>833.33333333333337</v>
      </c>
      <c r="J227" s="56">
        <f t="shared" si="34"/>
        <v>-1528.5519173666207</v>
      </c>
      <c r="K227" s="13">
        <f t="shared" si="35"/>
        <v>-284310.65663019207</v>
      </c>
    </row>
    <row r="228" spans="1:11" ht="22.05" customHeight="1" outlineLevel="1" x14ac:dyDescent="0.25">
      <c r="A228" s="55">
        <f t="shared" si="25"/>
        <v>187</v>
      </c>
      <c r="B228" s="55">
        <f t="shared" si="26"/>
        <v>16</v>
      </c>
      <c r="C228" s="56">
        <f t="shared" si="27"/>
        <v>829626.21570371592</v>
      </c>
      <c r="D228" s="56">
        <f t="shared" si="28"/>
        <v>6395.2185840332877</v>
      </c>
      <c r="E228" s="15">
        <f t="shared" si="29"/>
        <v>2938.2595139506607</v>
      </c>
      <c r="F228" s="56">
        <f t="shared" si="30"/>
        <v>3456.959070082627</v>
      </c>
      <c r="G228" s="56">
        <f t="shared" si="31"/>
        <v>826169.25663363328</v>
      </c>
      <c r="H228" s="3">
        <f t="shared" si="32"/>
        <v>5700</v>
      </c>
      <c r="I228" s="15">
        <f t="shared" si="33"/>
        <v>833.33333333333337</v>
      </c>
      <c r="J228" s="56">
        <f t="shared" si="34"/>
        <v>-1528.5519173666207</v>
      </c>
      <c r="K228" s="13">
        <f t="shared" si="35"/>
        <v>-285839.20854755869</v>
      </c>
    </row>
    <row r="229" spans="1:11" ht="22.05" customHeight="1" outlineLevel="1" x14ac:dyDescent="0.25">
      <c r="A229" s="55">
        <f t="shared" si="25"/>
        <v>188</v>
      </c>
      <c r="B229" s="55">
        <f t="shared" si="26"/>
        <v>16</v>
      </c>
      <c r="C229" s="56">
        <f t="shared" si="27"/>
        <v>826169.25663363328</v>
      </c>
      <c r="D229" s="56">
        <f t="shared" si="28"/>
        <v>6395.2185840332877</v>
      </c>
      <c r="E229" s="15">
        <f t="shared" si="29"/>
        <v>2926.016117244118</v>
      </c>
      <c r="F229" s="56">
        <f t="shared" si="30"/>
        <v>3469.2024667891696</v>
      </c>
      <c r="G229" s="56">
        <f t="shared" si="31"/>
        <v>822700.05416684411</v>
      </c>
      <c r="H229" s="3">
        <f t="shared" si="32"/>
        <v>5700</v>
      </c>
      <c r="I229" s="15">
        <f t="shared" si="33"/>
        <v>833.33333333333337</v>
      </c>
      <c r="J229" s="56">
        <f t="shared" si="34"/>
        <v>-1528.5519173666207</v>
      </c>
      <c r="K229" s="13">
        <f t="shared" si="35"/>
        <v>-287367.76046492532</v>
      </c>
    </row>
    <row r="230" spans="1:11" ht="22.05" customHeight="1" outlineLevel="1" x14ac:dyDescent="0.25">
      <c r="A230" s="55">
        <f t="shared" si="25"/>
        <v>189</v>
      </c>
      <c r="B230" s="55">
        <f t="shared" si="26"/>
        <v>16</v>
      </c>
      <c r="C230" s="56">
        <f t="shared" si="27"/>
        <v>822700.05416684411</v>
      </c>
      <c r="D230" s="56">
        <f t="shared" si="28"/>
        <v>6395.2185840332877</v>
      </c>
      <c r="E230" s="15">
        <f t="shared" si="29"/>
        <v>2913.7293585075731</v>
      </c>
      <c r="F230" s="56">
        <f t="shared" si="30"/>
        <v>3481.4892255257146</v>
      </c>
      <c r="G230" s="56">
        <f t="shared" si="31"/>
        <v>819218.56494131836</v>
      </c>
      <c r="H230" s="3">
        <f t="shared" si="32"/>
        <v>5700</v>
      </c>
      <c r="I230" s="15">
        <f t="shared" si="33"/>
        <v>833.33333333333337</v>
      </c>
      <c r="J230" s="56">
        <f t="shared" si="34"/>
        <v>-1528.5519173666207</v>
      </c>
      <c r="K230" s="13">
        <f t="shared" si="35"/>
        <v>-288896.31238229194</v>
      </c>
    </row>
    <row r="231" spans="1:11" ht="22.05" customHeight="1" outlineLevel="1" x14ac:dyDescent="0.25">
      <c r="A231" s="55">
        <f t="shared" si="25"/>
        <v>190</v>
      </c>
      <c r="B231" s="55">
        <f t="shared" si="26"/>
        <v>16</v>
      </c>
      <c r="C231" s="56">
        <f t="shared" si="27"/>
        <v>819218.56494131836</v>
      </c>
      <c r="D231" s="56">
        <f t="shared" si="28"/>
        <v>6395.2185840332877</v>
      </c>
      <c r="E231" s="15">
        <f t="shared" si="29"/>
        <v>2901.3990841671693</v>
      </c>
      <c r="F231" s="56">
        <f t="shared" si="30"/>
        <v>3493.8194998661183</v>
      </c>
      <c r="G231" s="56">
        <f t="shared" si="31"/>
        <v>815724.74544145225</v>
      </c>
      <c r="H231" s="3">
        <f t="shared" si="32"/>
        <v>5700</v>
      </c>
      <c r="I231" s="15">
        <f t="shared" si="33"/>
        <v>833.33333333333337</v>
      </c>
      <c r="J231" s="56">
        <f t="shared" si="34"/>
        <v>-1528.5519173666207</v>
      </c>
      <c r="K231" s="13">
        <f t="shared" si="35"/>
        <v>-290424.86429965857</v>
      </c>
    </row>
    <row r="232" spans="1:11" ht="22.05" customHeight="1" outlineLevel="1" x14ac:dyDescent="0.25">
      <c r="A232" s="55">
        <f t="shared" si="25"/>
        <v>191</v>
      </c>
      <c r="B232" s="55">
        <f t="shared" si="26"/>
        <v>16</v>
      </c>
      <c r="C232" s="56">
        <f t="shared" si="27"/>
        <v>815724.74544145225</v>
      </c>
      <c r="D232" s="56">
        <f t="shared" si="28"/>
        <v>6395.2185840332877</v>
      </c>
      <c r="E232" s="15">
        <f t="shared" si="29"/>
        <v>2889.0251401051432</v>
      </c>
      <c r="F232" s="56">
        <f t="shared" si="30"/>
        <v>3506.1934439281445</v>
      </c>
      <c r="G232" s="56">
        <f t="shared" si="31"/>
        <v>812218.5519975241</v>
      </c>
      <c r="H232" s="3">
        <f t="shared" si="32"/>
        <v>5700</v>
      </c>
      <c r="I232" s="15">
        <f t="shared" si="33"/>
        <v>833.33333333333337</v>
      </c>
      <c r="J232" s="56">
        <f t="shared" si="34"/>
        <v>-1528.5519173666207</v>
      </c>
      <c r="K232" s="13">
        <f t="shared" si="35"/>
        <v>-291953.41621702519</v>
      </c>
    </row>
    <row r="233" spans="1:11" ht="22.05" customHeight="1" outlineLevel="1" x14ac:dyDescent="0.25">
      <c r="A233" s="55">
        <f t="shared" si="25"/>
        <v>192</v>
      </c>
      <c r="B233" s="55">
        <f t="shared" si="26"/>
        <v>16</v>
      </c>
      <c r="C233" s="56">
        <f t="shared" si="27"/>
        <v>812218.5519975241</v>
      </c>
      <c r="D233" s="56">
        <f t="shared" si="28"/>
        <v>6395.2185840332877</v>
      </c>
      <c r="E233" s="15">
        <f t="shared" si="29"/>
        <v>2876.6073716578981</v>
      </c>
      <c r="F233" s="56">
        <f t="shared" si="30"/>
        <v>3518.6112123753896</v>
      </c>
      <c r="G233" s="56">
        <f t="shared" si="31"/>
        <v>808699.94078514876</v>
      </c>
      <c r="H233" s="3">
        <f t="shared" si="32"/>
        <v>5700</v>
      </c>
      <c r="I233" s="15">
        <f t="shared" si="33"/>
        <v>833.33333333333337</v>
      </c>
      <c r="J233" s="56">
        <f t="shared" si="34"/>
        <v>-1528.5519173666207</v>
      </c>
      <c r="K233" s="13">
        <f t="shared" si="35"/>
        <v>-293481.96813439182</v>
      </c>
    </row>
    <row r="234" spans="1:11" ht="22.05" customHeight="1" outlineLevel="1" x14ac:dyDescent="0.25">
      <c r="A234" s="55">
        <f t="shared" si="25"/>
        <v>193</v>
      </c>
      <c r="B234" s="55">
        <f t="shared" si="26"/>
        <v>17</v>
      </c>
      <c r="C234" s="56">
        <f t="shared" si="27"/>
        <v>808699.94078514876</v>
      </c>
      <c r="D234" s="56">
        <f t="shared" si="28"/>
        <v>6395.2185840332877</v>
      </c>
      <c r="E234" s="15">
        <f t="shared" si="29"/>
        <v>2864.1456236140689</v>
      </c>
      <c r="F234" s="56">
        <f t="shared" si="30"/>
        <v>3531.0729604192188</v>
      </c>
      <c r="G234" s="56">
        <f t="shared" si="31"/>
        <v>805168.86782472953</v>
      </c>
      <c r="H234" s="3">
        <f t="shared" si="32"/>
        <v>5700</v>
      </c>
      <c r="I234" s="15">
        <f t="shared" si="33"/>
        <v>833.33333333333337</v>
      </c>
      <c r="J234" s="56">
        <f t="shared" si="34"/>
        <v>-1528.5519173666207</v>
      </c>
      <c r="K234" s="13">
        <f t="shared" si="35"/>
        <v>-295010.52005175845</v>
      </c>
    </row>
    <row r="235" spans="1:11" ht="22.05" customHeight="1" outlineLevel="1" x14ac:dyDescent="0.25">
      <c r="A235" s="55">
        <f t="shared" si="25"/>
        <v>194</v>
      </c>
      <c r="B235" s="55">
        <f t="shared" si="26"/>
        <v>17</v>
      </c>
      <c r="C235" s="56">
        <f t="shared" si="27"/>
        <v>805168.86782472953</v>
      </c>
      <c r="D235" s="56">
        <f t="shared" si="28"/>
        <v>6395.2185840332877</v>
      </c>
      <c r="E235" s="15">
        <f t="shared" si="29"/>
        <v>2851.639740212584</v>
      </c>
      <c r="F235" s="56">
        <f t="shared" si="30"/>
        <v>3543.5788438207037</v>
      </c>
      <c r="G235" s="56">
        <f t="shared" si="31"/>
        <v>801625.28898090881</v>
      </c>
      <c r="H235" s="3">
        <f t="shared" si="32"/>
        <v>5700</v>
      </c>
      <c r="I235" s="15">
        <f t="shared" si="33"/>
        <v>833.33333333333337</v>
      </c>
      <c r="J235" s="56">
        <f t="shared" si="34"/>
        <v>-1528.5519173666207</v>
      </c>
      <c r="K235" s="13">
        <f t="shared" si="35"/>
        <v>-296539.07196912507</v>
      </c>
    </row>
    <row r="236" spans="1:11" ht="22.05" customHeight="1" outlineLevel="1" x14ac:dyDescent="0.25">
      <c r="A236" s="55">
        <f t="shared" ref="A236:A299" si="36">IF(A235&lt;360,A235+1,"")</f>
        <v>195</v>
      </c>
      <c r="B236" s="55">
        <f t="shared" ref="B236:B299" si="37">IF(A236="","",ROUNDUP(A236/12,0))</f>
        <v>17</v>
      </c>
      <c r="C236" s="56">
        <f t="shared" ref="C236:C299" si="38">IF(A236="","",G235)</f>
        <v>801625.28898090881</v>
      </c>
      <c r="D236" s="56">
        <f t="shared" ref="D236:D299" si="39">IF(A236="","",IF(AND(A236&lt;=$G$8*12,$G$6&gt;0,C236&gt;0.01),IF($G$9="שפיצר",IFERROR(-PMT($G$7/12,$G$8*12,$G$6),0),IF($G$9="קרן שוה",$G$6/($G$8*12)+C236*$G$7/12,IF($G$9="בלון מלא",IF(A236=$G$8*12,C236+C236*$G$7/12,0),IF($G$9="בלון חלקי",C236*$G$7/12+IF(A236=$G$8*12,C236,0),0)))),0))</f>
        <v>6395.2185840332877</v>
      </c>
      <c r="E236" s="15">
        <f t="shared" ref="E236:E299" si="40">IF(A236="","",IF(AND(A236&lt;=$G$8*12,C236&gt;0.01),C236*$G$7/12,0))</f>
        <v>2839.0895651407191</v>
      </c>
      <c r="F236" s="56">
        <f t="shared" ref="F236:F299" si="41">IF(A236="","",D236-E236)</f>
        <v>3556.1290188925686</v>
      </c>
      <c r="G236" s="56">
        <f t="shared" ref="G236:G299" si="42">IF(A236="","",MAX(0,C236-F236))</f>
        <v>798069.15996201627</v>
      </c>
      <c r="H236" s="3">
        <f t="shared" ref="H236:H299" si="43">IF(A236="","",$P$6*(1+$P$9)^(B236-1)*(1-$P$12))</f>
        <v>5700</v>
      </c>
      <c r="I236" s="15">
        <f t="shared" ref="I236:I299" si="44">IF(A236="","",$P$20/12*(1+$P$10)^(B236-1)-$P$13/12*(1+$P$9)^(B236-1)+$P$13/12*(1+$P$10)^(B236-1))</f>
        <v>833.33333333333337</v>
      </c>
      <c r="J236" s="56">
        <f t="shared" ref="J236:J299" si="45">IF(A236="","",H236-I236-D236)</f>
        <v>-1528.5519173666207</v>
      </c>
      <c r="K236" s="13">
        <f t="shared" ref="K236:K299" si="46">IF(A236="","",K235+J236)</f>
        <v>-298067.6238864917</v>
      </c>
    </row>
    <row r="237" spans="1:11" ht="22.05" customHeight="1" outlineLevel="1" x14ac:dyDescent="0.25">
      <c r="A237" s="55">
        <f t="shared" si="36"/>
        <v>196</v>
      </c>
      <c r="B237" s="55">
        <f t="shared" si="37"/>
        <v>17</v>
      </c>
      <c r="C237" s="56">
        <f t="shared" si="38"/>
        <v>798069.15996201627</v>
      </c>
      <c r="D237" s="56">
        <f t="shared" si="39"/>
        <v>6395.2185840332877</v>
      </c>
      <c r="E237" s="15">
        <f t="shared" si="40"/>
        <v>2826.4949415321412</v>
      </c>
      <c r="F237" s="56">
        <f t="shared" si="41"/>
        <v>3568.7236425011465</v>
      </c>
      <c r="G237" s="56">
        <f t="shared" si="42"/>
        <v>794500.43631951511</v>
      </c>
      <c r="H237" s="3">
        <f t="shared" si="43"/>
        <v>5700</v>
      </c>
      <c r="I237" s="15">
        <f t="shared" si="44"/>
        <v>833.33333333333337</v>
      </c>
      <c r="J237" s="56">
        <f t="shared" si="45"/>
        <v>-1528.5519173666207</v>
      </c>
      <c r="K237" s="13">
        <f t="shared" si="46"/>
        <v>-299596.17580385832</v>
      </c>
    </row>
    <row r="238" spans="1:11" ht="22.05" customHeight="1" outlineLevel="1" x14ac:dyDescent="0.25">
      <c r="A238" s="55">
        <f t="shared" si="36"/>
        <v>197</v>
      </c>
      <c r="B238" s="55">
        <f t="shared" si="37"/>
        <v>17</v>
      </c>
      <c r="C238" s="56">
        <f t="shared" si="38"/>
        <v>794500.43631951511</v>
      </c>
      <c r="D238" s="56">
        <f t="shared" si="39"/>
        <v>6395.2185840332877</v>
      </c>
      <c r="E238" s="15">
        <f t="shared" si="40"/>
        <v>2813.8557119649499</v>
      </c>
      <c r="F238" s="56">
        <f t="shared" si="41"/>
        <v>3581.3628720683378</v>
      </c>
      <c r="G238" s="56">
        <f t="shared" si="42"/>
        <v>790919.0734474468</v>
      </c>
      <c r="H238" s="3">
        <f t="shared" si="43"/>
        <v>5700</v>
      </c>
      <c r="I238" s="15">
        <f t="shared" si="44"/>
        <v>833.33333333333337</v>
      </c>
      <c r="J238" s="56">
        <f t="shared" si="45"/>
        <v>-1528.5519173666207</v>
      </c>
      <c r="K238" s="13">
        <f t="shared" si="46"/>
        <v>-301124.72772122495</v>
      </c>
    </row>
    <row r="239" spans="1:11" ht="22.05" customHeight="1" outlineLevel="1" x14ac:dyDescent="0.25">
      <c r="A239" s="55">
        <f t="shared" si="36"/>
        <v>198</v>
      </c>
      <c r="B239" s="55">
        <f t="shared" si="37"/>
        <v>17</v>
      </c>
      <c r="C239" s="56">
        <f t="shared" si="38"/>
        <v>790919.0734474468</v>
      </c>
      <c r="D239" s="56">
        <f t="shared" si="39"/>
        <v>6395.2185840332877</v>
      </c>
      <c r="E239" s="15">
        <f t="shared" si="40"/>
        <v>2801.1717184597073</v>
      </c>
      <c r="F239" s="56">
        <f t="shared" si="41"/>
        <v>3594.0468655735804</v>
      </c>
      <c r="G239" s="56">
        <f t="shared" si="42"/>
        <v>787325.02658187319</v>
      </c>
      <c r="H239" s="3">
        <f t="shared" si="43"/>
        <v>5700</v>
      </c>
      <c r="I239" s="15">
        <f t="shared" si="44"/>
        <v>833.33333333333337</v>
      </c>
      <c r="J239" s="56">
        <f t="shared" si="45"/>
        <v>-1528.5519173666207</v>
      </c>
      <c r="K239" s="13">
        <f t="shared" si="46"/>
        <v>-302653.27963859157</v>
      </c>
    </row>
    <row r="240" spans="1:11" ht="22.05" customHeight="1" outlineLevel="1" x14ac:dyDescent="0.25">
      <c r="A240" s="55">
        <f t="shared" si="36"/>
        <v>199</v>
      </c>
      <c r="B240" s="55">
        <f t="shared" si="37"/>
        <v>17</v>
      </c>
      <c r="C240" s="56">
        <f t="shared" si="38"/>
        <v>787325.02658187319</v>
      </c>
      <c r="D240" s="56">
        <f t="shared" si="39"/>
        <v>6395.2185840332877</v>
      </c>
      <c r="E240" s="15">
        <f t="shared" si="40"/>
        <v>2788.4428024774679</v>
      </c>
      <c r="F240" s="56">
        <f t="shared" si="41"/>
        <v>3606.7757815558198</v>
      </c>
      <c r="G240" s="56">
        <f t="shared" si="42"/>
        <v>783718.25080031739</v>
      </c>
      <c r="H240" s="3">
        <f t="shared" si="43"/>
        <v>5700</v>
      </c>
      <c r="I240" s="15">
        <f t="shared" si="44"/>
        <v>833.33333333333337</v>
      </c>
      <c r="J240" s="56">
        <f t="shared" si="45"/>
        <v>-1528.5519173666207</v>
      </c>
      <c r="K240" s="13">
        <f t="shared" si="46"/>
        <v>-304181.8315559582</v>
      </c>
    </row>
    <row r="241" spans="1:11" ht="22.05" customHeight="1" outlineLevel="1" x14ac:dyDescent="0.25">
      <c r="A241" s="55">
        <f t="shared" si="36"/>
        <v>200</v>
      </c>
      <c r="B241" s="55">
        <f t="shared" si="37"/>
        <v>17</v>
      </c>
      <c r="C241" s="56">
        <f t="shared" si="38"/>
        <v>783718.25080031739</v>
      </c>
      <c r="D241" s="56">
        <f t="shared" si="39"/>
        <v>6395.2185840332877</v>
      </c>
      <c r="E241" s="15">
        <f t="shared" si="40"/>
        <v>2775.6688049177906</v>
      </c>
      <c r="F241" s="56">
        <f t="shared" si="41"/>
        <v>3619.5497791154971</v>
      </c>
      <c r="G241" s="56">
        <f t="shared" si="42"/>
        <v>780098.70102120191</v>
      </c>
      <c r="H241" s="3">
        <f t="shared" si="43"/>
        <v>5700</v>
      </c>
      <c r="I241" s="15">
        <f t="shared" si="44"/>
        <v>833.33333333333337</v>
      </c>
      <c r="J241" s="56">
        <f t="shared" si="45"/>
        <v>-1528.5519173666207</v>
      </c>
      <c r="K241" s="13">
        <f t="shared" si="46"/>
        <v>-305710.38347332482</v>
      </c>
    </row>
    <row r="242" spans="1:11" ht="22.05" customHeight="1" outlineLevel="1" x14ac:dyDescent="0.25">
      <c r="A242" s="55">
        <f t="shared" si="36"/>
        <v>201</v>
      </c>
      <c r="B242" s="55">
        <f t="shared" si="37"/>
        <v>17</v>
      </c>
      <c r="C242" s="56">
        <f t="shared" si="38"/>
        <v>780098.70102120191</v>
      </c>
      <c r="D242" s="56">
        <f t="shared" si="39"/>
        <v>6395.2185840332877</v>
      </c>
      <c r="E242" s="15">
        <f t="shared" si="40"/>
        <v>2762.8495661167567</v>
      </c>
      <c r="F242" s="56">
        <f t="shared" si="41"/>
        <v>3632.369017916531</v>
      </c>
      <c r="G242" s="56">
        <f t="shared" si="42"/>
        <v>776466.33200328541</v>
      </c>
      <c r="H242" s="3">
        <f t="shared" si="43"/>
        <v>5700</v>
      </c>
      <c r="I242" s="15">
        <f t="shared" si="44"/>
        <v>833.33333333333337</v>
      </c>
      <c r="J242" s="56">
        <f t="shared" si="45"/>
        <v>-1528.5519173666207</v>
      </c>
      <c r="K242" s="13">
        <f t="shared" si="46"/>
        <v>-307238.93539069145</v>
      </c>
    </row>
    <row r="243" spans="1:11" ht="22.05" customHeight="1" outlineLevel="1" x14ac:dyDescent="0.25">
      <c r="A243" s="55">
        <f t="shared" si="36"/>
        <v>202</v>
      </c>
      <c r="B243" s="55">
        <f t="shared" si="37"/>
        <v>17</v>
      </c>
      <c r="C243" s="56">
        <f t="shared" si="38"/>
        <v>776466.33200328541</v>
      </c>
      <c r="D243" s="56">
        <f t="shared" si="39"/>
        <v>6395.2185840332877</v>
      </c>
      <c r="E243" s="15">
        <f t="shared" si="40"/>
        <v>2749.984925844969</v>
      </c>
      <c r="F243" s="56">
        <f t="shared" si="41"/>
        <v>3645.2336581883187</v>
      </c>
      <c r="G243" s="56">
        <f t="shared" si="42"/>
        <v>772821.09834509704</v>
      </c>
      <c r="H243" s="3">
        <f t="shared" si="43"/>
        <v>5700</v>
      </c>
      <c r="I243" s="15">
        <f t="shared" si="44"/>
        <v>833.33333333333337</v>
      </c>
      <c r="J243" s="56">
        <f t="shared" si="45"/>
        <v>-1528.5519173666207</v>
      </c>
      <c r="K243" s="13">
        <f t="shared" si="46"/>
        <v>-308767.48730805807</v>
      </c>
    </row>
    <row r="244" spans="1:11" ht="22.05" customHeight="1" outlineLevel="1" x14ac:dyDescent="0.25">
      <c r="A244" s="55">
        <f t="shared" si="36"/>
        <v>203</v>
      </c>
      <c r="B244" s="55">
        <f t="shared" si="37"/>
        <v>17</v>
      </c>
      <c r="C244" s="56">
        <f t="shared" si="38"/>
        <v>772821.09834509704</v>
      </c>
      <c r="D244" s="56">
        <f t="shared" si="39"/>
        <v>6395.2185840332877</v>
      </c>
      <c r="E244" s="15">
        <f t="shared" si="40"/>
        <v>2737.0747233055522</v>
      </c>
      <c r="F244" s="56">
        <f t="shared" si="41"/>
        <v>3658.1438607277355</v>
      </c>
      <c r="G244" s="56">
        <f t="shared" si="42"/>
        <v>769162.95448436926</v>
      </c>
      <c r="H244" s="3">
        <f t="shared" si="43"/>
        <v>5700</v>
      </c>
      <c r="I244" s="15">
        <f t="shared" si="44"/>
        <v>833.33333333333337</v>
      </c>
      <c r="J244" s="56">
        <f t="shared" si="45"/>
        <v>-1528.5519173666207</v>
      </c>
      <c r="K244" s="13">
        <f t="shared" si="46"/>
        <v>-310296.0392254247</v>
      </c>
    </row>
    <row r="245" spans="1:11" ht="22.05" customHeight="1" outlineLevel="1" x14ac:dyDescent="0.25">
      <c r="A245" s="55">
        <f t="shared" si="36"/>
        <v>204</v>
      </c>
      <c r="B245" s="55">
        <f t="shared" si="37"/>
        <v>17</v>
      </c>
      <c r="C245" s="56">
        <f t="shared" si="38"/>
        <v>769162.95448436926</v>
      </c>
      <c r="D245" s="56">
        <f t="shared" si="39"/>
        <v>6395.2185840332877</v>
      </c>
      <c r="E245" s="15">
        <f t="shared" si="40"/>
        <v>2724.118797132141</v>
      </c>
      <c r="F245" s="56">
        <f t="shared" si="41"/>
        <v>3671.0997869011467</v>
      </c>
      <c r="G245" s="56">
        <f t="shared" si="42"/>
        <v>765491.85469746811</v>
      </c>
      <c r="H245" s="3">
        <f t="shared" si="43"/>
        <v>5700</v>
      </c>
      <c r="I245" s="15">
        <f t="shared" si="44"/>
        <v>833.33333333333337</v>
      </c>
      <c r="J245" s="56">
        <f t="shared" si="45"/>
        <v>-1528.5519173666207</v>
      </c>
      <c r="K245" s="13">
        <f t="shared" si="46"/>
        <v>-311824.59114279132</v>
      </c>
    </row>
    <row r="246" spans="1:11" ht="22.05" customHeight="1" outlineLevel="1" x14ac:dyDescent="0.25">
      <c r="A246" s="55">
        <f t="shared" si="36"/>
        <v>205</v>
      </c>
      <c r="B246" s="55">
        <f t="shared" si="37"/>
        <v>18</v>
      </c>
      <c r="C246" s="56">
        <f t="shared" si="38"/>
        <v>765491.85469746811</v>
      </c>
      <c r="D246" s="56">
        <f t="shared" si="39"/>
        <v>6395.2185840332877</v>
      </c>
      <c r="E246" s="15">
        <f t="shared" si="40"/>
        <v>2711.1169853868664</v>
      </c>
      <c r="F246" s="56">
        <f t="shared" si="41"/>
        <v>3684.1015986464213</v>
      </c>
      <c r="G246" s="56">
        <f t="shared" si="42"/>
        <v>761807.75309882173</v>
      </c>
      <c r="H246" s="3">
        <f t="shared" si="43"/>
        <v>5700</v>
      </c>
      <c r="I246" s="15">
        <f t="shared" si="44"/>
        <v>833.33333333333337</v>
      </c>
      <c r="J246" s="56">
        <f t="shared" si="45"/>
        <v>-1528.5519173666207</v>
      </c>
      <c r="K246" s="13">
        <f t="shared" si="46"/>
        <v>-313353.14306015795</v>
      </c>
    </row>
    <row r="247" spans="1:11" ht="22.05" customHeight="1" outlineLevel="1" x14ac:dyDescent="0.25">
      <c r="A247" s="55">
        <f t="shared" si="36"/>
        <v>206</v>
      </c>
      <c r="B247" s="55">
        <f t="shared" si="37"/>
        <v>18</v>
      </c>
      <c r="C247" s="56">
        <f t="shared" si="38"/>
        <v>761807.75309882173</v>
      </c>
      <c r="D247" s="56">
        <f t="shared" si="39"/>
        <v>6395.2185840332877</v>
      </c>
      <c r="E247" s="15">
        <f t="shared" si="40"/>
        <v>2698.0691255583274</v>
      </c>
      <c r="F247" s="56">
        <f t="shared" si="41"/>
        <v>3697.1494584749603</v>
      </c>
      <c r="G247" s="56">
        <f t="shared" si="42"/>
        <v>758110.60364034679</v>
      </c>
      <c r="H247" s="3">
        <f t="shared" si="43"/>
        <v>5700</v>
      </c>
      <c r="I247" s="15">
        <f t="shared" si="44"/>
        <v>833.33333333333337</v>
      </c>
      <c r="J247" s="56">
        <f t="shared" si="45"/>
        <v>-1528.5519173666207</v>
      </c>
      <c r="K247" s="13">
        <f t="shared" si="46"/>
        <v>-314881.69497752457</v>
      </c>
    </row>
    <row r="248" spans="1:11" ht="22.05" customHeight="1" outlineLevel="1" x14ac:dyDescent="0.25">
      <c r="A248" s="55">
        <f t="shared" si="36"/>
        <v>207</v>
      </c>
      <c r="B248" s="55">
        <f t="shared" si="37"/>
        <v>18</v>
      </c>
      <c r="C248" s="56">
        <f t="shared" si="38"/>
        <v>758110.60364034679</v>
      </c>
      <c r="D248" s="56">
        <f t="shared" si="39"/>
        <v>6395.2185840332877</v>
      </c>
      <c r="E248" s="15">
        <f t="shared" si="40"/>
        <v>2684.9750545595616</v>
      </c>
      <c r="F248" s="56">
        <f t="shared" si="41"/>
        <v>3710.2435294737261</v>
      </c>
      <c r="G248" s="56">
        <f t="shared" si="42"/>
        <v>754400.36011087301</v>
      </c>
      <c r="H248" s="3">
        <f t="shared" si="43"/>
        <v>5700</v>
      </c>
      <c r="I248" s="15">
        <f t="shared" si="44"/>
        <v>833.33333333333337</v>
      </c>
      <c r="J248" s="56">
        <f t="shared" si="45"/>
        <v>-1528.5519173666207</v>
      </c>
      <c r="K248" s="13">
        <f t="shared" si="46"/>
        <v>-316410.2468948912</v>
      </c>
    </row>
    <row r="249" spans="1:11" ht="22.05" customHeight="1" outlineLevel="1" x14ac:dyDescent="0.25">
      <c r="A249" s="55">
        <f t="shared" si="36"/>
        <v>208</v>
      </c>
      <c r="B249" s="55">
        <f t="shared" si="37"/>
        <v>18</v>
      </c>
      <c r="C249" s="56">
        <f t="shared" si="38"/>
        <v>754400.36011087301</v>
      </c>
      <c r="D249" s="56">
        <f t="shared" si="39"/>
        <v>6395.2185840332877</v>
      </c>
      <c r="E249" s="15">
        <f t="shared" si="40"/>
        <v>2671.8346087260088</v>
      </c>
      <c r="F249" s="56">
        <f t="shared" si="41"/>
        <v>3723.3839753072789</v>
      </c>
      <c r="G249" s="56">
        <f t="shared" si="42"/>
        <v>750676.97613556578</v>
      </c>
      <c r="H249" s="3">
        <f t="shared" si="43"/>
        <v>5700</v>
      </c>
      <c r="I249" s="15">
        <f t="shared" si="44"/>
        <v>833.33333333333337</v>
      </c>
      <c r="J249" s="56">
        <f t="shared" si="45"/>
        <v>-1528.5519173666207</v>
      </c>
      <c r="K249" s="13">
        <f t="shared" si="46"/>
        <v>-317938.79881225782</v>
      </c>
    </row>
    <row r="250" spans="1:11" ht="22.05" customHeight="1" outlineLevel="1" x14ac:dyDescent="0.25">
      <c r="A250" s="55">
        <f t="shared" si="36"/>
        <v>209</v>
      </c>
      <c r="B250" s="55">
        <f t="shared" si="37"/>
        <v>18</v>
      </c>
      <c r="C250" s="56">
        <f t="shared" si="38"/>
        <v>750676.97613556578</v>
      </c>
      <c r="D250" s="56">
        <f t="shared" si="39"/>
        <v>6395.2185840332877</v>
      </c>
      <c r="E250" s="15">
        <f t="shared" si="40"/>
        <v>2658.6476238134624</v>
      </c>
      <c r="F250" s="56">
        <f t="shared" si="41"/>
        <v>3736.5709602198253</v>
      </c>
      <c r="G250" s="56">
        <f t="shared" si="42"/>
        <v>746940.40517534595</v>
      </c>
      <c r="H250" s="3">
        <f t="shared" si="43"/>
        <v>5700</v>
      </c>
      <c r="I250" s="15">
        <f t="shared" si="44"/>
        <v>833.33333333333337</v>
      </c>
      <c r="J250" s="56">
        <f t="shared" si="45"/>
        <v>-1528.5519173666207</v>
      </c>
      <c r="K250" s="13">
        <f t="shared" si="46"/>
        <v>-319467.35072962445</v>
      </c>
    </row>
    <row r="251" spans="1:11" ht="22.05" customHeight="1" outlineLevel="1" x14ac:dyDescent="0.25">
      <c r="A251" s="55">
        <f t="shared" si="36"/>
        <v>210</v>
      </c>
      <c r="B251" s="55">
        <f t="shared" si="37"/>
        <v>18</v>
      </c>
      <c r="C251" s="56">
        <f t="shared" si="38"/>
        <v>746940.40517534595</v>
      </c>
      <c r="D251" s="56">
        <f t="shared" si="39"/>
        <v>6395.2185840332877</v>
      </c>
      <c r="E251" s="15">
        <f t="shared" si="40"/>
        <v>2645.4139349960174</v>
      </c>
      <c r="F251" s="56">
        <f t="shared" si="41"/>
        <v>3749.8046490372703</v>
      </c>
      <c r="G251" s="56">
        <f t="shared" si="42"/>
        <v>743190.60052630864</v>
      </c>
      <c r="H251" s="3">
        <f t="shared" si="43"/>
        <v>5700</v>
      </c>
      <c r="I251" s="15">
        <f t="shared" si="44"/>
        <v>833.33333333333337</v>
      </c>
      <c r="J251" s="56">
        <f t="shared" si="45"/>
        <v>-1528.5519173666207</v>
      </c>
      <c r="K251" s="13">
        <f t="shared" si="46"/>
        <v>-320995.90264699108</v>
      </c>
    </row>
    <row r="252" spans="1:11" ht="22.05" customHeight="1" outlineLevel="1" x14ac:dyDescent="0.25">
      <c r="A252" s="55">
        <f t="shared" si="36"/>
        <v>211</v>
      </c>
      <c r="B252" s="55">
        <f t="shared" si="37"/>
        <v>18</v>
      </c>
      <c r="C252" s="56">
        <f t="shared" si="38"/>
        <v>743190.60052630864</v>
      </c>
      <c r="D252" s="56">
        <f t="shared" si="39"/>
        <v>6395.2185840332877</v>
      </c>
      <c r="E252" s="15">
        <f t="shared" si="40"/>
        <v>2632.1333768640102</v>
      </c>
      <c r="F252" s="56">
        <f t="shared" si="41"/>
        <v>3763.0852071692775</v>
      </c>
      <c r="G252" s="56">
        <f t="shared" si="42"/>
        <v>739427.51531913935</v>
      </c>
      <c r="H252" s="3">
        <f t="shared" si="43"/>
        <v>5700</v>
      </c>
      <c r="I252" s="15">
        <f t="shared" si="44"/>
        <v>833.33333333333337</v>
      </c>
      <c r="J252" s="56">
        <f t="shared" si="45"/>
        <v>-1528.5519173666207</v>
      </c>
      <c r="K252" s="13">
        <f t="shared" si="46"/>
        <v>-322524.4545643577</v>
      </c>
    </row>
    <row r="253" spans="1:11" ht="22.05" customHeight="1" outlineLevel="1" x14ac:dyDescent="0.25">
      <c r="A253" s="55">
        <f t="shared" si="36"/>
        <v>212</v>
      </c>
      <c r="B253" s="55">
        <f t="shared" si="37"/>
        <v>18</v>
      </c>
      <c r="C253" s="56">
        <f t="shared" si="38"/>
        <v>739427.51531913935</v>
      </c>
      <c r="D253" s="56">
        <f t="shared" si="39"/>
        <v>6395.2185840332877</v>
      </c>
      <c r="E253" s="15">
        <f t="shared" si="40"/>
        <v>2618.8057834219521</v>
      </c>
      <c r="F253" s="56">
        <f t="shared" si="41"/>
        <v>3776.4128006113356</v>
      </c>
      <c r="G253" s="56">
        <f t="shared" si="42"/>
        <v>735651.102518528</v>
      </c>
      <c r="H253" s="3">
        <f t="shared" si="43"/>
        <v>5700</v>
      </c>
      <c r="I253" s="15">
        <f t="shared" si="44"/>
        <v>833.33333333333337</v>
      </c>
      <c r="J253" s="56">
        <f t="shared" si="45"/>
        <v>-1528.5519173666207</v>
      </c>
      <c r="K253" s="13">
        <f t="shared" si="46"/>
        <v>-324053.00648172433</v>
      </c>
    </row>
    <row r="254" spans="1:11" ht="22.05" customHeight="1" outlineLevel="1" x14ac:dyDescent="0.25">
      <c r="A254" s="55">
        <f t="shared" si="36"/>
        <v>213</v>
      </c>
      <c r="B254" s="55">
        <f t="shared" si="37"/>
        <v>18</v>
      </c>
      <c r="C254" s="56">
        <f t="shared" si="38"/>
        <v>735651.102518528</v>
      </c>
      <c r="D254" s="56">
        <f t="shared" si="39"/>
        <v>6395.2185840332877</v>
      </c>
      <c r="E254" s="15">
        <f t="shared" si="40"/>
        <v>2605.4309880864535</v>
      </c>
      <c r="F254" s="56">
        <f t="shared" si="41"/>
        <v>3789.7875959468342</v>
      </c>
      <c r="G254" s="56">
        <f t="shared" si="42"/>
        <v>731861.31492258119</v>
      </c>
      <c r="H254" s="3">
        <f t="shared" si="43"/>
        <v>5700</v>
      </c>
      <c r="I254" s="15">
        <f t="shared" si="44"/>
        <v>833.33333333333337</v>
      </c>
      <c r="J254" s="56">
        <f t="shared" si="45"/>
        <v>-1528.5519173666207</v>
      </c>
      <c r="K254" s="13">
        <f t="shared" si="46"/>
        <v>-325581.55839909095</v>
      </c>
    </row>
    <row r="255" spans="1:11" ht="22.05" customHeight="1" outlineLevel="1" x14ac:dyDescent="0.25">
      <c r="A255" s="55">
        <f t="shared" si="36"/>
        <v>214</v>
      </c>
      <c r="B255" s="55">
        <f t="shared" si="37"/>
        <v>18</v>
      </c>
      <c r="C255" s="56">
        <f t="shared" si="38"/>
        <v>731861.31492258119</v>
      </c>
      <c r="D255" s="56">
        <f t="shared" si="39"/>
        <v>6395.2185840332877</v>
      </c>
      <c r="E255" s="15">
        <f t="shared" si="40"/>
        <v>2592.008823684142</v>
      </c>
      <c r="F255" s="56">
        <f t="shared" si="41"/>
        <v>3803.2097603491457</v>
      </c>
      <c r="G255" s="56">
        <f t="shared" si="42"/>
        <v>728058.10516223207</v>
      </c>
      <c r="H255" s="3">
        <f t="shared" si="43"/>
        <v>5700</v>
      </c>
      <c r="I255" s="15">
        <f t="shared" si="44"/>
        <v>833.33333333333337</v>
      </c>
      <c r="J255" s="56">
        <f t="shared" si="45"/>
        <v>-1528.5519173666207</v>
      </c>
      <c r="K255" s="13">
        <f t="shared" si="46"/>
        <v>-327110.11031645758</v>
      </c>
    </row>
    <row r="256" spans="1:11" ht="22.05" customHeight="1" outlineLevel="1" x14ac:dyDescent="0.25">
      <c r="A256" s="55">
        <f t="shared" si="36"/>
        <v>215</v>
      </c>
      <c r="B256" s="55">
        <f t="shared" si="37"/>
        <v>18</v>
      </c>
      <c r="C256" s="56">
        <f t="shared" si="38"/>
        <v>728058.10516223207</v>
      </c>
      <c r="D256" s="56">
        <f t="shared" si="39"/>
        <v>6395.2185840332877</v>
      </c>
      <c r="E256" s="15">
        <f t="shared" si="40"/>
        <v>2578.539122449572</v>
      </c>
      <c r="F256" s="56">
        <f t="shared" si="41"/>
        <v>3816.6794615837157</v>
      </c>
      <c r="G256" s="56">
        <f t="shared" si="42"/>
        <v>724241.42570064834</v>
      </c>
      <c r="H256" s="3">
        <f t="shared" si="43"/>
        <v>5700</v>
      </c>
      <c r="I256" s="15">
        <f t="shared" si="44"/>
        <v>833.33333333333337</v>
      </c>
      <c r="J256" s="56">
        <f t="shared" si="45"/>
        <v>-1528.5519173666207</v>
      </c>
      <c r="K256" s="13">
        <f t="shared" si="46"/>
        <v>-328638.6622338242</v>
      </c>
    </row>
    <row r="257" spans="1:11" ht="22.05" customHeight="1" outlineLevel="1" x14ac:dyDescent="0.25">
      <c r="A257" s="55">
        <f t="shared" si="36"/>
        <v>216</v>
      </c>
      <c r="B257" s="55">
        <f t="shared" si="37"/>
        <v>18</v>
      </c>
      <c r="C257" s="56">
        <f t="shared" si="38"/>
        <v>724241.42570064834</v>
      </c>
      <c r="D257" s="56">
        <f t="shared" si="39"/>
        <v>6395.2185840332877</v>
      </c>
      <c r="E257" s="15">
        <f t="shared" si="40"/>
        <v>2565.02171602313</v>
      </c>
      <c r="F257" s="56">
        <f t="shared" si="41"/>
        <v>3830.1968680101577</v>
      </c>
      <c r="G257" s="56">
        <f t="shared" si="42"/>
        <v>720411.22883263812</v>
      </c>
      <c r="H257" s="3">
        <f t="shared" si="43"/>
        <v>5700</v>
      </c>
      <c r="I257" s="15">
        <f t="shared" si="44"/>
        <v>833.33333333333337</v>
      </c>
      <c r="J257" s="56">
        <f t="shared" si="45"/>
        <v>-1528.5519173666207</v>
      </c>
      <c r="K257" s="13">
        <f t="shared" si="46"/>
        <v>-330167.21415119083</v>
      </c>
    </row>
    <row r="258" spans="1:11" ht="22.05" customHeight="1" outlineLevel="1" x14ac:dyDescent="0.25">
      <c r="A258" s="55">
        <f t="shared" si="36"/>
        <v>217</v>
      </c>
      <c r="B258" s="55">
        <f t="shared" si="37"/>
        <v>19</v>
      </c>
      <c r="C258" s="56">
        <f t="shared" si="38"/>
        <v>720411.22883263812</v>
      </c>
      <c r="D258" s="56">
        <f t="shared" si="39"/>
        <v>6395.2185840332877</v>
      </c>
      <c r="E258" s="15">
        <f t="shared" si="40"/>
        <v>2551.4564354489271</v>
      </c>
      <c r="F258" s="56">
        <f t="shared" si="41"/>
        <v>3843.7621485843606</v>
      </c>
      <c r="G258" s="56">
        <f t="shared" si="42"/>
        <v>716567.46668405377</v>
      </c>
      <c r="H258" s="3">
        <f t="shared" si="43"/>
        <v>5700</v>
      </c>
      <c r="I258" s="15">
        <f t="shared" si="44"/>
        <v>833.33333333333337</v>
      </c>
      <c r="J258" s="56">
        <f t="shared" si="45"/>
        <v>-1528.5519173666207</v>
      </c>
      <c r="K258" s="13">
        <f t="shared" si="46"/>
        <v>-331695.76606855745</v>
      </c>
    </row>
    <row r="259" spans="1:11" ht="22.05" customHeight="1" outlineLevel="1" x14ac:dyDescent="0.25">
      <c r="A259" s="55">
        <f t="shared" si="36"/>
        <v>218</v>
      </c>
      <c r="B259" s="55">
        <f t="shared" si="37"/>
        <v>19</v>
      </c>
      <c r="C259" s="56">
        <f t="shared" si="38"/>
        <v>716567.46668405377</v>
      </c>
      <c r="D259" s="56">
        <f t="shared" si="39"/>
        <v>6395.2185840332877</v>
      </c>
      <c r="E259" s="15">
        <f t="shared" si="40"/>
        <v>2537.8431111726909</v>
      </c>
      <c r="F259" s="56">
        <f t="shared" si="41"/>
        <v>3857.3754728605968</v>
      </c>
      <c r="G259" s="56">
        <f t="shared" si="42"/>
        <v>712710.09121119312</v>
      </c>
      <c r="H259" s="3">
        <f t="shared" si="43"/>
        <v>5700</v>
      </c>
      <c r="I259" s="15">
        <f t="shared" si="44"/>
        <v>833.33333333333337</v>
      </c>
      <c r="J259" s="56">
        <f t="shared" si="45"/>
        <v>-1528.5519173666207</v>
      </c>
      <c r="K259" s="13">
        <f t="shared" si="46"/>
        <v>-333224.31798592408</v>
      </c>
    </row>
    <row r="260" spans="1:11" ht="22.05" customHeight="1" outlineLevel="1" x14ac:dyDescent="0.25">
      <c r="A260" s="55">
        <f t="shared" si="36"/>
        <v>219</v>
      </c>
      <c r="B260" s="55">
        <f t="shared" si="37"/>
        <v>19</v>
      </c>
      <c r="C260" s="56">
        <f t="shared" si="38"/>
        <v>712710.09121119312</v>
      </c>
      <c r="D260" s="56">
        <f t="shared" si="39"/>
        <v>6395.2185840332877</v>
      </c>
      <c r="E260" s="15">
        <f t="shared" si="40"/>
        <v>2524.1815730396424</v>
      </c>
      <c r="F260" s="56">
        <f t="shared" si="41"/>
        <v>3871.0370109936453</v>
      </c>
      <c r="G260" s="56">
        <f t="shared" si="42"/>
        <v>708839.05420019943</v>
      </c>
      <c r="H260" s="3">
        <f t="shared" si="43"/>
        <v>5700</v>
      </c>
      <c r="I260" s="15">
        <f t="shared" si="44"/>
        <v>833.33333333333337</v>
      </c>
      <c r="J260" s="56">
        <f t="shared" si="45"/>
        <v>-1528.5519173666207</v>
      </c>
      <c r="K260" s="13">
        <f t="shared" si="46"/>
        <v>-334752.8699032907</v>
      </c>
    </row>
    <row r="261" spans="1:11" ht="22.05" customHeight="1" outlineLevel="1" x14ac:dyDescent="0.25">
      <c r="A261" s="55">
        <f t="shared" si="36"/>
        <v>220</v>
      </c>
      <c r="B261" s="55">
        <f t="shared" si="37"/>
        <v>19</v>
      </c>
      <c r="C261" s="56">
        <f t="shared" si="38"/>
        <v>708839.05420019943</v>
      </c>
      <c r="D261" s="56">
        <f t="shared" si="39"/>
        <v>6395.2185840332877</v>
      </c>
      <c r="E261" s="15">
        <f t="shared" si="40"/>
        <v>2510.4716502923734</v>
      </c>
      <c r="F261" s="56">
        <f t="shared" si="41"/>
        <v>3884.7469337409143</v>
      </c>
      <c r="G261" s="56">
        <f t="shared" si="42"/>
        <v>704954.30726645852</v>
      </c>
      <c r="H261" s="3">
        <f t="shared" si="43"/>
        <v>5700</v>
      </c>
      <c r="I261" s="15">
        <f t="shared" si="44"/>
        <v>833.33333333333337</v>
      </c>
      <c r="J261" s="56">
        <f t="shared" si="45"/>
        <v>-1528.5519173666207</v>
      </c>
      <c r="K261" s="13">
        <f t="shared" si="46"/>
        <v>-336281.42182065733</v>
      </c>
    </row>
    <row r="262" spans="1:11" ht="22.05" customHeight="1" outlineLevel="1" x14ac:dyDescent="0.25">
      <c r="A262" s="55">
        <f t="shared" si="36"/>
        <v>221</v>
      </c>
      <c r="B262" s="55">
        <f t="shared" si="37"/>
        <v>19</v>
      </c>
      <c r="C262" s="56">
        <f t="shared" si="38"/>
        <v>704954.30726645852</v>
      </c>
      <c r="D262" s="56">
        <f t="shared" si="39"/>
        <v>6395.2185840332877</v>
      </c>
      <c r="E262" s="15">
        <f t="shared" si="40"/>
        <v>2496.7131715687074</v>
      </c>
      <c r="F262" s="56">
        <f t="shared" si="41"/>
        <v>3898.5054124645803</v>
      </c>
      <c r="G262" s="56">
        <f t="shared" si="42"/>
        <v>701055.80185399391</v>
      </c>
      <c r="H262" s="3">
        <f t="shared" si="43"/>
        <v>5700</v>
      </c>
      <c r="I262" s="15">
        <f t="shared" si="44"/>
        <v>833.33333333333337</v>
      </c>
      <c r="J262" s="56">
        <f t="shared" si="45"/>
        <v>-1528.5519173666207</v>
      </c>
      <c r="K262" s="13">
        <f t="shared" si="46"/>
        <v>-337809.97373802395</v>
      </c>
    </row>
    <row r="263" spans="1:11" ht="22.05" customHeight="1" outlineLevel="1" x14ac:dyDescent="0.25">
      <c r="A263" s="55">
        <f t="shared" si="36"/>
        <v>222</v>
      </c>
      <c r="B263" s="55">
        <f t="shared" si="37"/>
        <v>19</v>
      </c>
      <c r="C263" s="56">
        <f t="shared" si="38"/>
        <v>701055.80185399391</v>
      </c>
      <c r="D263" s="56">
        <f t="shared" si="39"/>
        <v>6395.2185840332877</v>
      </c>
      <c r="E263" s="15">
        <f t="shared" si="40"/>
        <v>2482.9059648995622</v>
      </c>
      <c r="F263" s="56">
        <f t="shared" si="41"/>
        <v>3912.3126191337255</v>
      </c>
      <c r="G263" s="56">
        <f t="shared" si="42"/>
        <v>697143.48923486017</v>
      </c>
      <c r="H263" s="3">
        <f t="shared" si="43"/>
        <v>5700</v>
      </c>
      <c r="I263" s="15">
        <f t="shared" si="44"/>
        <v>833.33333333333337</v>
      </c>
      <c r="J263" s="56">
        <f t="shared" si="45"/>
        <v>-1528.5519173666207</v>
      </c>
      <c r="K263" s="13">
        <f t="shared" si="46"/>
        <v>-339338.52565539058</v>
      </c>
    </row>
    <row r="264" spans="1:11" ht="22.05" customHeight="1" outlineLevel="1" x14ac:dyDescent="0.25">
      <c r="A264" s="55">
        <f t="shared" si="36"/>
        <v>223</v>
      </c>
      <c r="B264" s="55">
        <f t="shared" si="37"/>
        <v>19</v>
      </c>
      <c r="C264" s="56">
        <f t="shared" si="38"/>
        <v>697143.48923486017</v>
      </c>
      <c r="D264" s="56">
        <f t="shared" si="39"/>
        <v>6395.2185840332877</v>
      </c>
      <c r="E264" s="15">
        <f t="shared" si="40"/>
        <v>2469.0498577067965</v>
      </c>
      <c r="F264" s="56">
        <f t="shared" si="41"/>
        <v>3926.1687263264912</v>
      </c>
      <c r="G264" s="56">
        <f t="shared" si="42"/>
        <v>693217.32050853362</v>
      </c>
      <c r="H264" s="3">
        <f t="shared" si="43"/>
        <v>5700</v>
      </c>
      <c r="I264" s="15">
        <f t="shared" si="44"/>
        <v>833.33333333333337</v>
      </c>
      <c r="J264" s="56">
        <f t="shared" si="45"/>
        <v>-1528.5519173666207</v>
      </c>
      <c r="K264" s="13">
        <f t="shared" si="46"/>
        <v>-340867.0775727572</v>
      </c>
    </row>
    <row r="265" spans="1:11" ht="22.05" customHeight="1" outlineLevel="1" x14ac:dyDescent="0.25">
      <c r="A265" s="55">
        <f t="shared" si="36"/>
        <v>224</v>
      </c>
      <c r="B265" s="55">
        <f t="shared" si="37"/>
        <v>19</v>
      </c>
      <c r="C265" s="56">
        <f t="shared" si="38"/>
        <v>693217.32050853362</v>
      </c>
      <c r="D265" s="56">
        <f t="shared" si="39"/>
        <v>6395.2185840332877</v>
      </c>
      <c r="E265" s="15">
        <f t="shared" si="40"/>
        <v>2455.1446768010569</v>
      </c>
      <c r="F265" s="56">
        <f t="shared" si="41"/>
        <v>3940.0739072322308</v>
      </c>
      <c r="G265" s="56">
        <f t="shared" si="42"/>
        <v>689277.24660130136</v>
      </c>
      <c r="H265" s="3">
        <f t="shared" si="43"/>
        <v>5700</v>
      </c>
      <c r="I265" s="15">
        <f t="shared" si="44"/>
        <v>833.33333333333337</v>
      </c>
      <c r="J265" s="56">
        <f t="shared" si="45"/>
        <v>-1528.5519173666207</v>
      </c>
      <c r="K265" s="13">
        <f t="shared" si="46"/>
        <v>-342395.62949012383</v>
      </c>
    </row>
    <row r="266" spans="1:11" ht="22.05" customHeight="1" outlineLevel="1" x14ac:dyDescent="0.25">
      <c r="A266" s="55">
        <f t="shared" si="36"/>
        <v>225</v>
      </c>
      <c r="B266" s="55">
        <f t="shared" si="37"/>
        <v>19</v>
      </c>
      <c r="C266" s="56">
        <f t="shared" si="38"/>
        <v>689277.24660130136</v>
      </c>
      <c r="D266" s="56">
        <f t="shared" si="39"/>
        <v>6395.2185840332877</v>
      </c>
      <c r="E266" s="15">
        <f t="shared" si="40"/>
        <v>2441.1902483796089</v>
      </c>
      <c r="F266" s="56">
        <f t="shared" si="41"/>
        <v>3954.0283356536788</v>
      </c>
      <c r="G266" s="56">
        <f t="shared" si="42"/>
        <v>685323.21826564765</v>
      </c>
      <c r="H266" s="3">
        <f t="shared" si="43"/>
        <v>5700</v>
      </c>
      <c r="I266" s="15">
        <f t="shared" si="44"/>
        <v>833.33333333333337</v>
      </c>
      <c r="J266" s="56">
        <f t="shared" si="45"/>
        <v>-1528.5519173666207</v>
      </c>
      <c r="K266" s="13">
        <f t="shared" si="46"/>
        <v>-343924.18140749045</v>
      </c>
    </row>
    <row r="267" spans="1:11" ht="22.05" customHeight="1" outlineLevel="1" x14ac:dyDescent="0.25">
      <c r="A267" s="55">
        <f t="shared" si="36"/>
        <v>226</v>
      </c>
      <c r="B267" s="55">
        <f t="shared" si="37"/>
        <v>19</v>
      </c>
      <c r="C267" s="56">
        <f t="shared" si="38"/>
        <v>685323.21826564765</v>
      </c>
      <c r="D267" s="56">
        <f t="shared" si="39"/>
        <v>6395.2185840332877</v>
      </c>
      <c r="E267" s="15">
        <f t="shared" si="40"/>
        <v>2427.1863980241692</v>
      </c>
      <c r="F267" s="56">
        <f t="shared" si="41"/>
        <v>3968.0321860091185</v>
      </c>
      <c r="G267" s="56">
        <f t="shared" si="42"/>
        <v>681355.18607963854</v>
      </c>
      <c r="H267" s="3">
        <f t="shared" si="43"/>
        <v>5700</v>
      </c>
      <c r="I267" s="15">
        <f t="shared" si="44"/>
        <v>833.33333333333337</v>
      </c>
      <c r="J267" s="56">
        <f t="shared" si="45"/>
        <v>-1528.5519173666207</v>
      </c>
      <c r="K267" s="13">
        <f t="shared" si="46"/>
        <v>-345452.73332485708</v>
      </c>
    </row>
    <row r="268" spans="1:11" ht="22.05" customHeight="1" outlineLevel="1" x14ac:dyDescent="0.25">
      <c r="A268" s="55">
        <f t="shared" si="36"/>
        <v>227</v>
      </c>
      <c r="B268" s="55">
        <f t="shared" si="37"/>
        <v>19</v>
      </c>
      <c r="C268" s="56">
        <f t="shared" si="38"/>
        <v>681355.18607963854</v>
      </c>
      <c r="D268" s="56">
        <f t="shared" si="39"/>
        <v>6395.2185840332877</v>
      </c>
      <c r="E268" s="15">
        <f t="shared" si="40"/>
        <v>2413.1329506987199</v>
      </c>
      <c r="F268" s="56">
        <f t="shared" si="41"/>
        <v>3982.0856333345678</v>
      </c>
      <c r="G268" s="56">
        <f t="shared" si="42"/>
        <v>677373.10044630396</v>
      </c>
      <c r="H268" s="3">
        <f t="shared" si="43"/>
        <v>5700</v>
      </c>
      <c r="I268" s="15">
        <f t="shared" si="44"/>
        <v>833.33333333333337</v>
      </c>
      <c r="J268" s="56">
        <f t="shared" si="45"/>
        <v>-1528.5519173666207</v>
      </c>
      <c r="K268" s="13">
        <f t="shared" si="46"/>
        <v>-346981.2852422237</v>
      </c>
    </row>
    <row r="269" spans="1:11" ht="22.05" customHeight="1" outlineLevel="1" x14ac:dyDescent="0.25">
      <c r="A269" s="55">
        <f t="shared" si="36"/>
        <v>228</v>
      </c>
      <c r="B269" s="55">
        <f t="shared" si="37"/>
        <v>19</v>
      </c>
      <c r="C269" s="56">
        <f t="shared" si="38"/>
        <v>677373.10044630396</v>
      </c>
      <c r="D269" s="56">
        <f t="shared" si="39"/>
        <v>6395.2185840332877</v>
      </c>
      <c r="E269" s="15">
        <f t="shared" si="40"/>
        <v>2399.0297307473265</v>
      </c>
      <c r="F269" s="56">
        <f t="shared" si="41"/>
        <v>3996.1888532859612</v>
      </c>
      <c r="G269" s="56">
        <f t="shared" si="42"/>
        <v>673376.91159301798</v>
      </c>
      <c r="H269" s="3">
        <f t="shared" si="43"/>
        <v>5700</v>
      </c>
      <c r="I269" s="15">
        <f t="shared" si="44"/>
        <v>833.33333333333337</v>
      </c>
      <c r="J269" s="56">
        <f t="shared" si="45"/>
        <v>-1528.5519173666207</v>
      </c>
      <c r="K269" s="13">
        <f t="shared" si="46"/>
        <v>-348509.83715959033</v>
      </c>
    </row>
    <row r="270" spans="1:11" ht="22.05" customHeight="1" outlineLevel="1" x14ac:dyDescent="0.25">
      <c r="A270" s="55">
        <f t="shared" si="36"/>
        <v>229</v>
      </c>
      <c r="B270" s="55">
        <f t="shared" si="37"/>
        <v>20</v>
      </c>
      <c r="C270" s="56">
        <f t="shared" si="38"/>
        <v>673376.91159301798</v>
      </c>
      <c r="D270" s="56">
        <f t="shared" si="39"/>
        <v>6395.2185840332877</v>
      </c>
      <c r="E270" s="15">
        <f t="shared" si="40"/>
        <v>2384.8765618919388</v>
      </c>
      <c r="F270" s="56">
        <f t="shared" si="41"/>
        <v>4010.3420221413489</v>
      </c>
      <c r="G270" s="56">
        <f t="shared" si="42"/>
        <v>669366.56957087666</v>
      </c>
      <c r="H270" s="3">
        <f t="shared" si="43"/>
        <v>5700</v>
      </c>
      <c r="I270" s="15">
        <f t="shared" si="44"/>
        <v>833.33333333333337</v>
      </c>
      <c r="J270" s="56">
        <f t="shared" si="45"/>
        <v>-1528.5519173666207</v>
      </c>
      <c r="K270" s="13">
        <f t="shared" si="46"/>
        <v>-350038.38907695696</v>
      </c>
    </row>
    <row r="271" spans="1:11" ht="22.05" customHeight="1" outlineLevel="1" x14ac:dyDescent="0.25">
      <c r="A271" s="55">
        <f t="shared" si="36"/>
        <v>230</v>
      </c>
      <c r="B271" s="55">
        <f t="shared" si="37"/>
        <v>20</v>
      </c>
      <c r="C271" s="56">
        <f t="shared" si="38"/>
        <v>669366.56957087666</v>
      </c>
      <c r="D271" s="56">
        <f t="shared" si="39"/>
        <v>6395.2185840332877</v>
      </c>
      <c r="E271" s="15">
        <f t="shared" si="40"/>
        <v>2370.6732672301882</v>
      </c>
      <c r="F271" s="56">
        <f t="shared" si="41"/>
        <v>4024.5453168030995</v>
      </c>
      <c r="G271" s="56">
        <f t="shared" si="42"/>
        <v>665342.02425407351</v>
      </c>
      <c r="H271" s="3">
        <f t="shared" si="43"/>
        <v>5700</v>
      </c>
      <c r="I271" s="15">
        <f t="shared" si="44"/>
        <v>833.33333333333337</v>
      </c>
      <c r="J271" s="56">
        <f t="shared" si="45"/>
        <v>-1528.5519173666207</v>
      </c>
      <c r="K271" s="13">
        <f t="shared" si="46"/>
        <v>-351566.94099432358</v>
      </c>
    </row>
    <row r="272" spans="1:11" ht="22.05" customHeight="1" outlineLevel="1" x14ac:dyDescent="0.25">
      <c r="A272" s="55">
        <f t="shared" si="36"/>
        <v>231</v>
      </c>
      <c r="B272" s="55">
        <f t="shared" si="37"/>
        <v>20</v>
      </c>
      <c r="C272" s="56">
        <f t="shared" si="38"/>
        <v>665342.02425407351</v>
      </c>
      <c r="D272" s="56">
        <f t="shared" si="39"/>
        <v>6395.2185840332877</v>
      </c>
      <c r="E272" s="15">
        <f t="shared" si="40"/>
        <v>2356.419669233177</v>
      </c>
      <c r="F272" s="56">
        <f t="shared" si="41"/>
        <v>4038.7989148001107</v>
      </c>
      <c r="G272" s="56">
        <f t="shared" si="42"/>
        <v>661303.22533927334</v>
      </c>
      <c r="H272" s="3">
        <f t="shared" si="43"/>
        <v>5700</v>
      </c>
      <c r="I272" s="15">
        <f t="shared" si="44"/>
        <v>833.33333333333337</v>
      </c>
      <c r="J272" s="56">
        <f t="shared" si="45"/>
        <v>-1528.5519173666207</v>
      </c>
      <c r="K272" s="13">
        <f t="shared" si="46"/>
        <v>-353095.49291169021</v>
      </c>
    </row>
    <row r="273" spans="1:11" ht="22.05" customHeight="1" outlineLevel="1" x14ac:dyDescent="0.25">
      <c r="A273" s="55">
        <f t="shared" si="36"/>
        <v>232</v>
      </c>
      <c r="B273" s="55">
        <f t="shared" si="37"/>
        <v>20</v>
      </c>
      <c r="C273" s="56">
        <f t="shared" si="38"/>
        <v>661303.22533927334</v>
      </c>
      <c r="D273" s="56">
        <f t="shared" si="39"/>
        <v>6395.2185840332877</v>
      </c>
      <c r="E273" s="15">
        <f t="shared" si="40"/>
        <v>2342.11558974326</v>
      </c>
      <c r="F273" s="56">
        <f t="shared" si="41"/>
        <v>4053.1029942900277</v>
      </c>
      <c r="G273" s="56">
        <f t="shared" si="42"/>
        <v>657250.12234498328</v>
      </c>
      <c r="H273" s="3">
        <f t="shared" si="43"/>
        <v>5700</v>
      </c>
      <c r="I273" s="15">
        <f t="shared" si="44"/>
        <v>833.33333333333337</v>
      </c>
      <c r="J273" s="56">
        <f t="shared" si="45"/>
        <v>-1528.5519173666207</v>
      </c>
      <c r="K273" s="13">
        <f t="shared" si="46"/>
        <v>-354624.04482905683</v>
      </c>
    </row>
    <row r="274" spans="1:11" ht="22.05" customHeight="1" outlineLevel="1" x14ac:dyDescent="0.25">
      <c r="A274" s="55">
        <f t="shared" si="36"/>
        <v>233</v>
      </c>
      <c r="B274" s="55">
        <f t="shared" si="37"/>
        <v>20</v>
      </c>
      <c r="C274" s="56">
        <f t="shared" si="38"/>
        <v>657250.12234498328</v>
      </c>
      <c r="D274" s="56">
        <f t="shared" si="39"/>
        <v>6395.2185840332877</v>
      </c>
      <c r="E274" s="15">
        <f t="shared" si="40"/>
        <v>2327.7608499718158</v>
      </c>
      <c r="F274" s="56">
        <f t="shared" si="41"/>
        <v>4067.4577340614719</v>
      </c>
      <c r="G274" s="56">
        <f t="shared" si="42"/>
        <v>653182.66461092175</v>
      </c>
      <c r="H274" s="3">
        <f t="shared" si="43"/>
        <v>5700</v>
      </c>
      <c r="I274" s="15">
        <f t="shared" si="44"/>
        <v>833.33333333333337</v>
      </c>
      <c r="J274" s="56">
        <f t="shared" si="45"/>
        <v>-1528.5519173666207</v>
      </c>
      <c r="K274" s="13">
        <f t="shared" si="46"/>
        <v>-356152.59674642346</v>
      </c>
    </row>
    <row r="275" spans="1:11" ht="22.05" customHeight="1" outlineLevel="1" x14ac:dyDescent="0.25">
      <c r="A275" s="55">
        <f t="shared" si="36"/>
        <v>234</v>
      </c>
      <c r="B275" s="55">
        <f t="shared" si="37"/>
        <v>20</v>
      </c>
      <c r="C275" s="56">
        <f t="shared" si="38"/>
        <v>653182.66461092175</v>
      </c>
      <c r="D275" s="56">
        <f t="shared" si="39"/>
        <v>6395.2185840332877</v>
      </c>
      <c r="E275" s="15">
        <f t="shared" si="40"/>
        <v>2313.3552704970148</v>
      </c>
      <c r="F275" s="56">
        <f t="shared" si="41"/>
        <v>4081.8633135362729</v>
      </c>
      <c r="G275" s="56">
        <f t="shared" si="42"/>
        <v>649100.80129738548</v>
      </c>
      <c r="H275" s="3">
        <f t="shared" si="43"/>
        <v>5700</v>
      </c>
      <c r="I275" s="15">
        <f t="shared" si="44"/>
        <v>833.33333333333337</v>
      </c>
      <c r="J275" s="56">
        <f t="shared" si="45"/>
        <v>-1528.5519173666207</v>
      </c>
      <c r="K275" s="13">
        <f t="shared" si="46"/>
        <v>-357681.14866379008</v>
      </c>
    </row>
    <row r="276" spans="1:11" ht="22.05" customHeight="1" outlineLevel="1" x14ac:dyDescent="0.25">
      <c r="A276" s="55">
        <f t="shared" si="36"/>
        <v>235</v>
      </c>
      <c r="B276" s="55">
        <f t="shared" si="37"/>
        <v>20</v>
      </c>
      <c r="C276" s="56">
        <f t="shared" si="38"/>
        <v>649100.80129738548</v>
      </c>
      <c r="D276" s="56">
        <f t="shared" si="39"/>
        <v>6395.2185840332877</v>
      </c>
      <c r="E276" s="15">
        <f t="shared" si="40"/>
        <v>2298.8986712615738</v>
      </c>
      <c r="F276" s="56">
        <f t="shared" si="41"/>
        <v>4096.3199127717144</v>
      </c>
      <c r="G276" s="56">
        <f t="shared" si="42"/>
        <v>645004.48138461378</v>
      </c>
      <c r="H276" s="3">
        <f t="shared" si="43"/>
        <v>5700</v>
      </c>
      <c r="I276" s="15">
        <f t="shared" si="44"/>
        <v>833.33333333333337</v>
      </c>
      <c r="J276" s="56">
        <f t="shared" si="45"/>
        <v>-1528.5519173666207</v>
      </c>
      <c r="K276" s="13">
        <f t="shared" si="46"/>
        <v>-359209.70058115671</v>
      </c>
    </row>
    <row r="277" spans="1:11" ht="22.05" customHeight="1" outlineLevel="1" x14ac:dyDescent="0.25">
      <c r="A277" s="55">
        <f t="shared" si="36"/>
        <v>236</v>
      </c>
      <c r="B277" s="55">
        <f t="shared" si="37"/>
        <v>20</v>
      </c>
      <c r="C277" s="56">
        <f t="shared" si="38"/>
        <v>645004.48138461378</v>
      </c>
      <c r="D277" s="56">
        <f t="shared" si="39"/>
        <v>6395.2185840332877</v>
      </c>
      <c r="E277" s="15">
        <f t="shared" si="40"/>
        <v>2284.3908715705074</v>
      </c>
      <c r="F277" s="56">
        <f t="shared" si="41"/>
        <v>4110.8277124627803</v>
      </c>
      <c r="G277" s="56">
        <f t="shared" si="42"/>
        <v>640893.65367215103</v>
      </c>
      <c r="H277" s="3">
        <f t="shared" si="43"/>
        <v>5700</v>
      </c>
      <c r="I277" s="15">
        <f t="shared" si="44"/>
        <v>833.33333333333337</v>
      </c>
      <c r="J277" s="56">
        <f t="shared" si="45"/>
        <v>-1528.5519173666207</v>
      </c>
      <c r="K277" s="13">
        <f t="shared" si="46"/>
        <v>-360738.25249852333</v>
      </c>
    </row>
    <row r="278" spans="1:11" ht="22.05" customHeight="1" outlineLevel="1" x14ac:dyDescent="0.25">
      <c r="A278" s="55">
        <f t="shared" si="36"/>
        <v>237</v>
      </c>
      <c r="B278" s="55">
        <f t="shared" si="37"/>
        <v>20</v>
      </c>
      <c r="C278" s="56">
        <f t="shared" si="38"/>
        <v>640893.65367215103</v>
      </c>
      <c r="D278" s="56">
        <f t="shared" si="39"/>
        <v>6395.2185840332877</v>
      </c>
      <c r="E278" s="15">
        <f t="shared" si="40"/>
        <v>2269.8316900888685</v>
      </c>
      <c r="F278" s="56">
        <f t="shared" si="41"/>
        <v>4125.3868939444192</v>
      </c>
      <c r="G278" s="56">
        <f t="shared" si="42"/>
        <v>636768.26677820657</v>
      </c>
      <c r="H278" s="3">
        <f t="shared" si="43"/>
        <v>5700</v>
      </c>
      <c r="I278" s="15">
        <f t="shared" si="44"/>
        <v>833.33333333333337</v>
      </c>
      <c r="J278" s="56">
        <f t="shared" si="45"/>
        <v>-1528.5519173666207</v>
      </c>
      <c r="K278" s="13">
        <f t="shared" si="46"/>
        <v>-362266.80441588996</v>
      </c>
    </row>
    <row r="279" spans="1:11" ht="22.05" customHeight="1" outlineLevel="1" x14ac:dyDescent="0.25">
      <c r="A279" s="55">
        <f t="shared" si="36"/>
        <v>238</v>
      </c>
      <c r="B279" s="55">
        <f t="shared" si="37"/>
        <v>20</v>
      </c>
      <c r="C279" s="56">
        <f t="shared" si="38"/>
        <v>636768.26677820657</v>
      </c>
      <c r="D279" s="56">
        <f t="shared" si="39"/>
        <v>6395.2185840332877</v>
      </c>
      <c r="E279" s="15">
        <f t="shared" si="40"/>
        <v>2255.2209448394819</v>
      </c>
      <c r="F279" s="56">
        <f t="shared" si="41"/>
        <v>4139.9976391938053</v>
      </c>
      <c r="G279" s="56">
        <f t="shared" si="42"/>
        <v>632628.26913901279</v>
      </c>
      <c r="H279" s="3">
        <f t="shared" si="43"/>
        <v>5700</v>
      </c>
      <c r="I279" s="15">
        <f t="shared" si="44"/>
        <v>833.33333333333337</v>
      </c>
      <c r="J279" s="56">
        <f t="shared" si="45"/>
        <v>-1528.5519173666207</v>
      </c>
      <c r="K279" s="13">
        <f t="shared" si="46"/>
        <v>-363795.35633325658</v>
      </c>
    </row>
    <row r="280" spans="1:11" ht="22.05" customHeight="1" outlineLevel="1" x14ac:dyDescent="0.25">
      <c r="A280" s="55">
        <f t="shared" si="36"/>
        <v>239</v>
      </c>
      <c r="B280" s="55">
        <f t="shared" si="37"/>
        <v>20</v>
      </c>
      <c r="C280" s="56">
        <f t="shared" si="38"/>
        <v>632628.26913901279</v>
      </c>
      <c r="D280" s="56">
        <f t="shared" si="39"/>
        <v>6395.2185840332877</v>
      </c>
      <c r="E280" s="15">
        <f t="shared" si="40"/>
        <v>2240.5584532006706</v>
      </c>
      <c r="F280" s="56">
        <f t="shared" si="41"/>
        <v>4154.6601308326171</v>
      </c>
      <c r="G280" s="56">
        <f t="shared" si="42"/>
        <v>628473.60900818021</v>
      </c>
      <c r="H280" s="3">
        <f t="shared" si="43"/>
        <v>5700</v>
      </c>
      <c r="I280" s="15">
        <f t="shared" si="44"/>
        <v>833.33333333333337</v>
      </c>
      <c r="J280" s="56">
        <f t="shared" si="45"/>
        <v>-1528.5519173666207</v>
      </c>
      <c r="K280" s="13">
        <f t="shared" si="46"/>
        <v>-365323.90825062321</v>
      </c>
    </row>
    <row r="281" spans="1:11" ht="22.05" customHeight="1" outlineLevel="1" x14ac:dyDescent="0.25">
      <c r="A281" s="55">
        <f t="shared" si="36"/>
        <v>240</v>
      </c>
      <c r="B281" s="55">
        <f t="shared" si="37"/>
        <v>20</v>
      </c>
      <c r="C281" s="56">
        <f t="shared" si="38"/>
        <v>628473.60900818021</v>
      </c>
      <c r="D281" s="56">
        <f t="shared" si="39"/>
        <v>6395.2185840332877</v>
      </c>
      <c r="E281" s="15">
        <f t="shared" si="40"/>
        <v>2225.8440319039719</v>
      </c>
      <c r="F281" s="56">
        <f t="shared" si="41"/>
        <v>4169.3745521293158</v>
      </c>
      <c r="G281" s="56">
        <f t="shared" si="42"/>
        <v>624304.23445605091</v>
      </c>
      <c r="H281" s="3">
        <f t="shared" si="43"/>
        <v>5700</v>
      </c>
      <c r="I281" s="15">
        <f t="shared" si="44"/>
        <v>833.33333333333337</v>
      </c>
      <c r="J281" s="56">
        <f t="shared" si="45"/>
        <v>-1528.5519173666207</v>
      </c>
      <c r="K281" s="13">
        <f t="shared" si="46"/>
        <v>-366852.46016798983</v>
      </c>
    </row>
    <row r="282" spans="1:11" ht="22.05" customHeight="1" outlineLevel="1" x14ac:dyDescent="0.25">
      <c r="A282" s="55">
        <f t="shared" si="36"/>
        <v>241</v>
      </c>
      <c r="B282" s="55">
        <f t="shared" si="37"/>
        <v>21</v>
      </c>
      <c r="C282" s="56">
        <f t="shared" si="38"/>
        <v>624304.23445605091</v>
      </c>
      <c r="D282" s="56">
        <f t="shared" si="39"/>
        <v>6395.2185840332877</v>
      </c>
      <c r="E282" s="15">
        <f t="shared" si="40"/>
        <v>2211.0774970318471</v>
      </c>
      <c r="F282" s="56">
        <f t="shared" si="41"/>
        <v>4184.1410870014406</v>
      </c>
      <c r="G282" s="56">
        <f t="shared" si="42"/>
        <v>620120.09336904949</v>
      </c>
      <c r="H282" s="3">
        <f t="shared" si="43"/>
        <v>5700</v>
      </c>
      <c r="I282" s="15">
        <f t="shared" si="44"/>
        <v>833.33333333333337</v>
      </c>
      <c r="J282" s="56">
        <f t="shared" si="45"/>
        <v>-1528.5519173666207</v>
      </c>
      <c r="K282" s="13">
        <f t="shared" si="46"/>
        <v>-368381.01208535646</v>
      </c>
    </row>
    <row r="283" spans="1:11" ht="22.05" customHeight="1" outlineLevel="1" x14ac:dyDescent="0.25">
      <c r="A283" s="55">
        <f t="shared" si="36"/>
        <v>242</v>
      </c>
      <c r="B283" s="55">
        <f t="shared" si="37"/>
        <v>21</v>
      </c>
      <c r="C283" s="56">
        <f t="shared" si="38"/>
        <v>620120.09336904949</v>
      </c>
      <c r="D283" s="56">
        <f t="shared" si="39"/>
        <v>6395.2185840332877</v>
      </c>
      <c r="E283" s="15">
        <f t="shared" si="40"/>
        <v>2196.2586640153836</v>
      </c>
      <c r="F283" s="56">
        <f t="shared" si="41"/>
        <v>4198.9599200179036</v>
      </c>
      <c r="G283" s="56">
        <f t="shared" si="42"/>
        <v>615921.13344903162</v>
      </c>
      <c r="H283" s="3">
        <f t="shared" si="43"/>
        <v>5700</v>
      </c>
      <c r="I283" s="15">
        <f t="shared" si="44"/>
        <v>833.33333333333337</v>
      </c>
      <c r="J283" s="56">
        <f t="shared" si="45"/>
        <v>-1528.5519173666207</v>
      </c>
      <c r="K283" s="13">
        <f t="shared" si="46"/>
        <v>-369909.56400272308</v>
      </c>
    </row>
    <row r="284" spans="1:11" ht="22.05" customHeight="1" outlineLevel="1" x14ac:dyDescent="0.25">
      <c r="A284" s="55">
        <f t="shared" si="36"/>
        <v>243</v>
      </c>
      <c r="B284" s="55">
        <f t="shared" si="37"/>
        <v>21</v>
      </c>
      <c r="C284" s="56">
        <f t="shared" si="38"/>
        <v>615921.13344903162</v>
      </c>
      <c r="D284" s="56">
        <f t="shared" si="39"/>
        <v>6395.2185840332877</v>
      </c>
      <c r="E284" s="15">
        <f t="shared" si="40"/>
        <v>2181.3873476319873</v>
      </c>
      <c r="F284" s="56">
        <f t="shared" si="41"/>
        <v>4213.8312364013</v>
      </c>
      <c r="G284" s="56">
        <f t="shared" si="42"/>
        <v>611707.30221263028</v>
      </c>
      <c r="H284" s="3">
        <f t="shared" si="43"/>
        <v>5700</v>
      </c>
      <c r="I284" s="15">
        <f t="shared" si="44"/>
        <v>833.33333333333337</v>
      </c>
      <c r="J284" s="56">
        <f t="shared" si="45"/>
        <v>-1528.5519173666207</v>
      </c>
      <c r="K284" s="13">
        <f t="shared" si="46"/>
        <v>-371438.11592008971</v>
      </c>
    </row>
    <row r="285" spans="1:11" ht="22.05" customHeight="1" outlineLevel="1" x14ac:dyDescent="0.25">
      <c r="A285" s="55">
        <f t="shared" si="36"/>
        <v>244</v>
      </c>
      <c r="B285" s="55">
        <f t="shared" si="37"/>
        <v>21</v>
      </c>
      <c r="C285" s="56">
        <f t="shared" si="38"/>
        <v>611707.30221263028</v>
      </c>
      <c r="D285" s="56">
        <f t="shared" si="39"/>
        <v>6395.2185840332877</v>
      </c>
      <c r="E285" s="15">
        <f t="shared" si="40"/>
        <v>2166.4633620030659</v>
      </c>
      <c r="F285" s="56">
        <f t="shared" si="41"/>
        <v>4228.7552220302223</v>
      </c>
      <c r="G285" s="56">
        <f t="shared" si="42"/>
        <v>607478.54699060007</v>
      </c>
      <c r="H285" s="3">
        <f t="shared" si="43"/>
        <v>5700</v>
      </c>
      <c r="I285" s="15">
        <f t="shared" si="44"/>
        <v>833.33333333333337</v>
      </c>
      <c r="J285" s="56">
        <f t="shared" si="45"/>
        <v>-1528.5519173666207</v>
      </c>
      <c r="K285" s="13">
        <f t="shared" si="46"/>
        <v>-372966.66783745633</v>
      </c>
    </row>
    <row r="286" spans="1:11" ht="22.05" customHeight="1" outlineLevel="1" x14ac:dyDescent="0.25">
      <c r="A286" s="55">
        <f t="shared" si="36"/>
        <v>245</v>
      </c>
      <c r="B286" s="55">
        <f t="shared" si="37"/>
        <v>21</v>
      </c>
      <c r="C286" s="56">
        <f t="shared" si="38"/>
        <v>607478.54699060007</v>
      </c>
      <c r="D286" s="56">
        <f t="shared" si="39"/>
        <v>6395.2185840332877</v>
      </c>
      <c r="E286" s="15">
        <f t="shared" si="40"/>
        <v>2151.486520591709</v>
      </c>
      <c r="F286" s="56">
        <f t="shared" si="41"/>
        <v>4243.7320634415792</v>
      </c>
      <c r="G286" s="56">
        <f t="shared" si="42"/>
        <v>603234.81492715853</v>
      </c>
      <c r="H286" s="3">
        <f t="shared" si="43"/>
        <v>5700</v>
      </c>
      <c r="I286" s="15">
        <f t="shared" si="44"/>
        <v>833.33333333333337</v>
      </c>
      <c r="J286" s="56">
        <f t="shared" si="45"/>
        <v>-1528.5519173666207</v>
      </c>
      <c r="K286" s="13">
        <f t="shared" si="46"/>
        <v>-374495.21975482296</v>
      </c>
    </row>
    <row r="287" spans="1:11" ht="22.05" customHeight="1" outlineLevel="1" x14ac:dyDescent="0.25">
      <c r="A287" s="55">
        <f t="shared" si="36"/>
        <v>246</v>
      </c>
      <c r="B287" s="55">
        <f t="shared" si="37"/>
        <v>21</v>
      </c>
      <c r="C287" s="56">
        <f t="shared" si="38"/>
        <v>603234.81492715853</v>
      </c>
      <c r="D287" s="56">
        <f t="shared" si="39"/>
        <v>6395.2185840332877</v>
      </c>
      <c r="E287" s="15">
        <f t="shared" si="40"/>
        <v>2136.4566362003534</v>
      </c>
      <c r="F287" s="56">
        <f t="shared" si="41"/>
        <v>4258.7619478329343</v>
      </c>
      <c r="G287" s="56">
        <f t="shared" si="42"/>
        <v>598976.05297932564</v>
      </c>
      <c r="H287" s="3">
        <f t="shared" si="43"/>
        <v>5700</v>
      </c>
      <c r="I287" s="15">
        <f t="shared" si="44"/>
        <v>833.33333333333337</v>
      </c>
      <c r="J287" s="56">
        <f t="shared" si="45"/>
        <v>-1528.5519173666207</v>
      </c>
      <c r="K287" s="13">
        <f t="shared" si="46"/>
        <v>-376023.77167218958</v>
      </c>
    </row>
    <row r="288" spans="1:11" ht="22.05" customHeight="1" outlineLevel="1" x14ac:dyDescent="0.25">
      <c r="A288" s="55">
        <f t="shared" si="36"/>
        <v>247</v>
      </c>
      <c r="B288" s="55">
        <f t="shared" si="37"/>
        <v>21</v>
      </c>
      <c r="C288" s="56">
        <f t="shared" si="38"/>
        <v>598976.05297932564</v>
      </c>
      <c r="D288" s="56">
        <f t="shared" si="39"/>
        <v>6395.2185840332877</v>
      </c>
      <c r="E288" s="15">
        <f t="shared" si="40"/>
        <v>2121.3735209684451</v>
      </c>
      <c r="F288" s="56">
        <f t="shared" si="41"/>
        <v>4273.8450630648422</v>
      </c>
      <c r="G288" s="56">
        <f t="shared" si="42"/>
        <v>594702.20791626081</v>
      </c>
      <c r="H288" s="3">
        <f t="shared" si="43"/>
        <v>5700</v>
      </c>
      <c r="I288" s="15">
        <f t="shared" si="44"/>
        <v>833.33333333333337</v>
      </c>
      <c r="J288" s="56">
        <f t="shared" si="45"/>
        <v>-1528.5519173666207</v>
      </c>
      <c r="K288" s="13">
        <f t="shared" si="46"/>
        <v>-377552.32358955621</v>
      </c>
    </row>
    <row r="289" spans="1:11" ht="22.05" customHeight="1" outlineLevel="1" x14ac:dyDescent="0.25">
      <c r="A289" s="55">
        <f t="shared" si="36"/>
        <v>248</v>
      </c>
      <c r="B289" s="55">
        <f t="shared" si="37"/>
        <v>21</v>
      </c>
      <c r="C289" s="56">
        <f t="shared" si="38"/>
        <v>594702.20791626081</v>
      </c>
      <c r="D289" s="56">
        <f t="shared" si="39"/>
        <v>6395.2185840332877</v>
      </c>
      <c r="E289" s="15">
        <f t="shared" si="40"/>
        <v>2106.2369863700906</v>
      </c>
      <c r="F289" s="56">
        <f t="shared" si="41"/>
        <v>4288.9815976631971</v>
      </c>
      <c r="G289" s="56">
        <f t="shared" si="42"/>
        <v>590413.22631859756</v>
      </c>
      <c r="H289" s="3">
        <f t="shared" si="43"/>
        <v>5700</v>
      </c>
      <c r="I289" s="15">
        <f t="shared" si="44"/>
        <v>833.33333333333337</v>
      </c>
      <c r="J289" s="56">
        <f t="shared" si="45"/>
        <v>-1528.5519173666207</v>
      </c>
      <c r="K289" s="13">
        <f t="shared" si="46"/>
        <v>-379080.87550692284</v>
      </c>
    </row>
    <row r="290" spans="1:11" ht="22.05" customHeight="1" outlineLevel="1" x14ac:dyDescent="0.25">
      <c r="A290" s="55">
        <f t="shared" si="36"/>
        <v>249</v>
      </c>
      <c r="B290" s="55">
        <f t="shared" si="37"/>
        <v>21</v>
      </c>
      <c r="C290" s="56">
        <f t="shared" si="38"/>
        <v>590413.22631859756</v>
      </c>
      <c r="D290" s="56">
        <f t="shared" si="39"/>
        <v>6395.2185840332877</v>
      </c>
      <c r="E290" s="15">
        <f t="shared" si="40"/>
        <v>2091.0468432117</v>
      </c>
      <c r="F290" s="56">
        <f t="shared" si="41"/>
        <v>4304.1717408215882</v>
      </c>
      <c r="G290" s="56">
        <f t="shared" si="42"/>
        <v>586109.054577776</v>
      </c>
      <c r="H290" s="3">
        <f t="shared" si="43"/>
        <v>5700</v>
      </c>
      <c r="I290" s="15">
        <f t="shared" si="44"/>
        <v>833.33333333333337</v>
      </c>
      <c r="J290" s="56">
        <f t="shared" si="45"/>
        <v>-1528.5519173666207</v>
      </c>
      <c r="K290" s="13">
        <f t="shared" si="46"/>
        <v>-380609.42742428946</v>
      </c>
    </row>
    <row r="291" spans="1:11" ht="22.05" customHeight="1" outlineLevel="1" x14ac:dyDescent="0.25">
      <c r="A291" s="55">
        <f t="shared" si="36"/>
        <v>250</v>
      </c>
      <c r="B291" s="55">
        <f t="shared" si="37"/>
        <v>21</v>
      </c>
      <c r="C291" s="56">
        <f t="shared" si="38"/>
        <v>586109.054577776</v>
      </c>
      <c r="D291" s="56">
        <f t="shared" si="39"/>
        <v>6395.2185840332877</v>
      </c>
      <c r="E291" s="15">
        <f t="shared" si="40"/>
        <v>2075.8029016296236</v>
      </c>
      <c r="F291" s="56">
        <f t="shared" si="41"/>
        <v>4319.4156824036636</v>
      </c>
      <c r="G291" s="56">
        <f t="shared" si="42"/>
        <v>581789.63889537228</v>
      </c>
      <c r="H291" s="3">
        <f t="shared" si="43"/>
        <v>5700</v>
      </c>
      <c r="I291" s="15">
        <f t="shared" si="44"/>
        <v>833.33333333333337</v>
      </c>
      <c r="J291" s="56">
        <f t="shared" si="45"/>
        <v>-1528.5519173666207</v>
      </c>
      <c r="K291" s="13">
        <f t="shared" si="46"/>
        <v>-382137.97934165609</v>
      </c>
    </row>
    <row r="292" spans="1:11" ht="22.05" customHeight="1" outlineLevel="1" x14ac:dyDescent="0.25">
      <c r="A292" s="55">
        <f t="shared" si="36"/>
        <v>251</v>
      </c>
      <c r="B292" s="55">
        <f t="shared" si="37"/>
        <v>21</v>
      </c>
      <c r="C292" s="56">
        <f t="shared" si="38"/>
        <v>581789.63889537228</v>
      </c>
      <c r="D292" s="56">
        <f t="shared" si="39"/>
        <v>6395.2185840332877</v>
      </c>
      <c r="E292" s="15">
        <f t="shared" si="40"/>
        <v>2060.504971087777</v>
      </c>
      <c r="F292" s="56">
        <f t="shared" si="41"/>
        <v>4334.7136129455102</v>
      </c>
      <c r="G292" s="56">
        <f t="shared" si="42"/>
        <v>577454.92528242676</v>
      </c>
      <c r="H292" s="3">
        <f t="shared" si="43"/>
        <v>5700</v>
      </c>
      <c r="I292" s="15">
        <f t="shared" si="44"/>
        <v>833.33333333333337</v>
      </c>
      <c r="J292" s="56">
        <f t="shared" si="45"/>
        <v>-1528.5519173666207</v>
      </c>
      <c r="K292" s="13">
        <f t="shared" si="46"/>
        <v>-383666.53125902271</v>
      </c>
    </row>
    <row r="293" spans="1:11" ht="22.05" customHeight="1" outlineLevel="1" x14ac:dyDescent="0.25">
      <c r="A293" s="55">
        <f t="shared" si="36"/>
        <v>252</v>
      </c>
      <c r="B293" s="55">
        <f t="shared" si="37"/>
        <v>21</v>
      </c>
      <c r="C293" s="56">
        <f t="shared" si="38"/>
        <v>577454.92528242676</v>
      </c>
      <c r="D293" s="56">
        <f t="shared" si="39"/>
        <v>6395.2185840332877</v>
      </c>
      <c r="E293" s="15">
        <f t="shared" si="40"/>
        <v>2045.1528603752615</v>
      </c>
      <c r="F293" s="56">
        <f t="shared" si="41"/>
        <v>4350.0657236580264</v>
      </c>
      <c r="G293" s="56">
        <f t="shared" si="42"/>
        <v>573104.85955876869</v>
      </c>
      <c r="H293" s="3">
        <f t="shared" si="43"/>
        <v>5700</v>
      </c>
      <c r="I293" s="15">
        <f t="shared" si="44"/>
        <v>833.33333333333337</v>
      </c>
      <c r="J293" s="56">
        <f t="shared" si="45"/>
        <v>-1528.5519173666207</v>
      </c>
      <c r="K293" s="13">
        <f t="shared" si="46"/>
        <v>-385195.08317638934</v>
      </c>
    </row>
    <row r="294" spans="1:11" ht="22.05" customHeight="1" outlineLevel="1" x14ac:dyDescent="0.25">
      <c r="A294" s="55">
        <f t="shared" si="36"/>
        <v>253</v>
      </c>
      <c r="B294" s="55">
        <f t="shared" si="37"/>
        <v>22</v>
      </c>
      <c r="C294" s="56">
        <f t="shared" si="38"/>
        <v>573104.85955876869</v>
      </c>
      <c r="D294" s="56">
        <f t="shared" si="39"/>
        <v>6395.2185840332877</v>
      </c>
      <c r="E294" s="15">
        <f t="shared" si="40"/>
        <v>2029.7463776039724</v>
      </c>
      <c r="F294" s="56">
        <f t="shared" si="41"/>
        <v>4365.4722064293155</v>
      </c>
      <c r="G294" s="56">
        <f t="shared" si="42"/>
        <v>568739.38735233934</v>
      </c>
      <c r="H294" s="3">
        <f t="shared" si="43"/>
        <v>5700</v>
      </c>
      <c r="I294" s="15">
        <f t="shared" si="44"/>
        <v>833.33333333333337</v>
      </c>
      <c r="J294" s="56">
        <f t="shared" si="45"/>
        <v>-1528.5519173666207</v>
      </c>
      <c r="K294" s="13">
        <f t="shared" si="46"/>
        <v>-386723.63509375596</v>
      </c>
    </row>
    <row r="295" spans="1:11" ht="22.05" customHeight="1" outlineLevel="1" x14ac:dyDescent="0.25">
      <c r="A295" s="55">
        <f t="shared" si="36"/>
        <v>254</v>
      </c>
      <c r="B295" s="55">
        <f t="shared" si="37"/>
        <v>22</v>
      </c>
      <c r="C295" s="56">
        <f t="shared" si="38"/>
        <v>568739.38735233934</v>
      </c>
      <c r="D295" s="56">
        <f t="shared" si="39"/>
        <v>6395.2185840332877</v>
      </c>
      <c r="E295" s="15">
        <f t="shared" si="40"/>
        <v>2014.2853302062019</v>
      </c>
      <c r="F295" s="56">
        <f t="shared" si="41"/>
        <v>4380.9332538270855</v>
      </c>
      <c r="G295" s="56">
        <f t="shared" si="42"/>
        <v>564358.4540985123</v>
      </c>
      <c r="H295" s="3">
        <f t="shared" si="43"/>
        <v>5700</v>
      </c>
      <c r="I295" s="15">
        <f t="shared" si="44"/>
        <v>833.33333333333337</v>
      </c>
      <c r="J295" s="56">
        <f t="shared" si="45"/>
        <v>-1528.5519173666207</v>
      </c>
      <c r="K295" s="13">
        <f t="shared" si="46"/>
        <v>-388252.18701112259</v>
      </c>
    </row>
    <row r="296" spans="1:11" ht="22.05" customHeight="1" outlineLevel="1" x14ac:dyDescent="0.25">
      <c r="A296" s="55">
        <f t="shared" si="36"/>
        <v>255</v>
      </c>
      <c r="B296" s="55">
        <f t="shared" si="37"/>
        <v>22</v>
      </c>
      <c r="C296" s="56">
        <f t="shared" si="38"/>
        <v>564358.4540985123</v>
      </c>
      <c r="D296" s="56">
        <f t="shared" si="39"/>
        <v>6395.2185840332877</v>
      </c>
      <c r="E296" s="15">
        <f t="shared" si="40"/>
        <v>1998.7695249322312</v>
      </c>
      <c r="F296" s="56">
        <f t="shared" si="41"/>
        <v>4396.4490591010563</v>
      </c>
      <c r="G296" s="56">
        <f t="shared" si="42"/>
        <v>559962.00503941125</v>
      </c>
      <c r="H296" s="3">
        <f t="shared" si="43"/>
        <v>5700</v>
      </c>
      <c r="I296" s="15">
        <f t="shared" si="44"/>
        <v>833.33333333333337</v>
      </c>
      <c r="J296" s="56">
        <f t="shared" si="45"/>
        <v>-1528.5519173666207</v>
      </c>
      <c r="K296" s="13">
        <f t="shared" si="46"/>
        <v>-389780.73892848921</v>
      </c>
    </row>
    <row r="297" spans="1:11" ht="22.05" customHeight="1" outlineLevel="1" x14ac:dyDescent="0.25">
      <c r="A297" s="55">
        <f t="shared" si="36"/>
        <v>256</v>
      </c>
      <c r="B297" s="55">
        <f t="shared" si="37"/>
        <v>22</v>
      </c>
      <c r="C297" s="56">
        <f t="shared" si="38"/>
        <v>559962.00503941125</v>
      </c>
      <c r="D297" s="56">
        <f t="shared" si="39"/>
        <v>6395.2185840332877</v>
      </c>
      <c r="E297" s="15">
        <f t="shared" si="40"/>
        <v>1983.1987678479152</v>
      </c>
      <c r="F297" s="56">
        <f t="shared" si="41"/>
        <v>4412.0198161853723</v>
      </c>
      <c r="G297" s="56">
        <f t="shared" si="42"/>
        <v>555549.9852232259</v>
      </c>
      <c r="H297" s="3">
        <f t="shared" si="43"/>
        <v>5700</v>
      </c>
      <c r="I297" s="15">
        <f t="shared" si="44"/>
        <v>833.33333333333337</v>
      </c>
      <c r="J297" s="56">
        <f t="shared" si="45"/>
        <v>-1528.5519173666207</v>
      </c>
      <c r="K297" s="13">
        <f t="shared" si="46"/>
        <v>-391309.29084585584</v>
      </c>
    </row>
    <row r="298" spans="1:11" ht="22.05" customHeight="1" outlineLevel="1" x14ac:dyDescent="0.25">
      <c r="A298" s="55">
        <f t="shared" si="36"/>
        <v>257</v>
      </c>
      <c r="B298" s="55">
        <f t="shared" si="37"/>
        <v>22</v>
      </c>
      <c r="C298" s="56">
        <f t="shared" si="38"/>
        <v>555549.9852232259</v>
      </c>
      <c r="D298" s="56">
        <f t="shared" si="39"/>
        <v>6395.2185840332877</v>
      </c>
      <c r="E298" s="15">
        <f t="shared" si="40"/>
        <v>1967.5728643322584</v>
      </c>
      <c r="F298" s="56">
        <f t="shared" si="41"/>
        <v>4427.6457197010295</v>
      </c>
      <c r="G298" s="56">
        <f t="shared" si="42"/>
        <v>551122.33950352482</v>
      </c>
      <c r="H298" s="3">
        <f t="shared" si="43"/>
        <v>5700</v>
      </c>
      <c r="I298" s="15">
        <f t="shared" si="44"/>
        <v>833.33333333333337</v>
      </c>
      <c r="J298" s="56">
        <f t="shared" si="45"/>
        <v>-1528.5519173666207</v>
      </c>
      <c r="K298" s="13">
        <f t="shared" si="46"/>
        <v>-392837.84276322246</v>
      </c>
    </row>
    <row r="299" spans="1:11" ht="22.05" customHeight="1" outlineLevel="1" x14ac:dyDescent="0.25">
      <c r="A299" s="55">
        <f t="shared" si="36"/>
        <v>258</v>
      </c>
      <c r="B299" s="55">
        <f t="shared" si="37"/>
        <v>22</v>
      </c>
      <c r="C299" s="56">
        <f t="shared" si="38"/>
        <v>551122.33950352482</v>
      </c>
      <c r="D299" s="56">
        <f t="shared" si="39"/>
        <v>6395.2185840332877</v>
      </c>
      <c r="E299" s="15">
        <f t="shared" si="40"/>
        <v>1951.891619074984</v>
      </c>
      <c r="F299" s="56">
        <f t="shared" si="41"/>
        <v>4443.3269649583035</v>
      </c>
      <c r="G299" s="56">
        <f t="shared" si="42"/>
        <v>546679.01253856649</v>
      </c>
      <c r="H299" s="3">
        <f t="shared" si="43"/>
        <v>5700</v>
      </c>
      <c r="I299" s="15">
        <f t="shared" si="44"/>
        <v>833.33333333333337</v>
      </c>
      <c r="J299" s="56">
        <f t="shared" si="45"/>
        <v>-1528.5519173666207</v>
      </c>
      <c r="K299" s="13">
        <f t="shared" si="46"/>
        <v>-394366.39468058909</v>
      </c>
    </row>
    <row r="300" spans="1:11" ht="22.05" customHeight="1" outlineLevel="1" x14ac:dyDescent="0.25">
      <c r="A300" s="55">
        <f t="shared" ref="A300:A363" si="47">IF(A299&lt;360,A299+1,"")</f>
        <v>259</v>
      </c>
      <c r="B300" s="55">
        <f t="shared" ref="B300:B363" si="48">IF(A300="","",ROUNDUP(A300/12,0))</f>
        <v>22</v>
      </c>
      <c r="C300" s="56">
        <f t="shared" ref="C300:C363" si="49">IF(A300="","",G299)</f>
        <v>546679.01253856649</v>
      </c>
      <c r="D300" s="56">
        <f t="shared" ref="D300:D363" si="50">IF(A300="","",IF(AND(A300&lt;=$G$8*12,$G$6&gt;0,C300&gt;0.01),IF($G$9="שפיצר",IFERROR(-PMT($G$7/12,$G$8*12,$G$6),0),IF($G$9="קרן שוה",$G$6/($G$8*12)+C300*$G$7/12,IF($G$9="בלון מלא",IF(A300=$G$8*12,C300+C300*$G$7/12,0),IF($G$9="בלון חלקי",C300*$G$7/12+IF(A300=$G$8*12,C300,0),0)))),0))</f>
        <v>6395.2185840332877</v>
      </c>
      <c r="E300" s="15">
        <f t="shared" ref="E300:E363" si="51">IF(A300="","",IF(AND(A300&lt;=$G$8*12,C300&gt;0.01),C300*$G$7/12,0))</f>
        <v>1936.1548360740899</v>
      </c>
      <c r="F300" s="56">
        <f t="shared" ref="F300:F363" si="52">IF(A300="","",D300-E300)</f>
        <v>4459.0637479591978</v>
      </c>
      <c r="G300" s="56">
        <f t="shared" ref="G300:G363" si="53">IF(A300="","",MAX(0,C300-F300))</f>
        <v>542219.94879060728</v>
      </c>
      <c r="H300" s="3">
        <f t="shared" ref="H300:H363" si="54">IF(A300="","",$P$6*(1+$P$9)^(B300-1)*(1-$P$12))</f>
        <v>5700</v>
      </c>
      <c r="I300" s="15">
        <f t="shared" ref="I300:I363" si="55">IF(A300="","",$P$20/12*(1+$P$10)^(B300-1)-$P$13/12*(1+$P$9)^(B300-1)+$P$13/12*(1+$P$10)^(B300-1))</f>
        <v>833.33333333333337</v>
      </c>
      <c r="J300" s="56">
        <f t="shared" ref="J300:J363" si="56">IF(A300="","",H300-I300-D300)</f>
        <v>-1528.5519173666207</v>
      </c>
      <c r="K300" s="13">
        <f t="shared" ref="K300:K363" si="57">IF(A300="","",K299+J300)</f>
        <v>-395894.94659795571</v>
      </c>
    </row>
    <row r="301" spans="1:11" ht="22.05" customHeight="1" outlineLevel="1" x14ac:dyDescent="0.25">
      <c r="A301" s="55">
        <f t="shared" si="47"/>
        <v>260</v>
      </c>
      <c r="B301" s="55">
        <f t="shared" si="48"/>
        <v>22</v>
      </c>
      <c r="C301" s="56">
        <f t="shared" si="49"/>
        <v>542219.94879060728</v>
      </c>
      <c r="D301" s="56">
        <f t="shared" si="50"/>
        <v>6395.2185840332877</v>
      </c>
      <c r="E301" s="15">
        <f t="shared" si="51"/>
        <v>1920.3623186334009</v>
      </c>
      <c r="F301" s="56">
        <f t="shared" si="52"/>
        <v>4474.856265399887</v>
      </c>
      <c r="G301" s="56">
        <f t="shared" si="53"/>
        <v>537745.09252520744</v>
      </c>
      <c r="H301" s="3">
        <f t="shared" si="54"/>
        <v>5700</v>
      </c>
      <c r="I301" s="15">
        <f t="shared" si="55"/>
        <v>833.33333333333337</v>
      </c>
      <c r="J301" s="56">
        <f t="shared" si="56"/>
        <v>-1528.5519173666207</v>
      </c>
      <c r="K301" s="13">
        <f t="shared" si="57"/>
        <v>-397423.49851532234</v>
      </c>
    </row>
    <row r="302" spans="1:11" ht="22.05" customHeight="1" outlineLevel="1" x14ac:dyDescent="0.25">
      <c r="A302" s="55">
        <f t="shared" si="47"/>
        <v>261</v>
      </c>
      <c r="B302" s="55">
        <f t="shared" si="48"/>
        <v>22</v>
      </c>
      <c r="C302" s="56">
        <f t="shared" si="49"/>
        <v>537745.09252520744</v>
      </c>
      <c r="D302" s="56">
        <f t="shared" si="50"/>
        <v>6395.2185840332877</v>
      </c>
      <c r="E302" s="15">
        <f t="shared" si="51"/>
        <v>1904.51386936011</v>
      </c>
      <c r="F302" s="56">
        <f t="shared" si="52"/>
        <v>4490.7047146731775</v>
      </c>
      <c r="G302" s="56">
        <f t="shared" si="53"/>
        <v>533254.38781053422</v>
      </c>
      <c r="H302" s="3">
        <f t="shared" si="54"/>
        <v>5700</v>
      </c>
      <c r="I302" s="15">
        <f t="shared" si="55"/>
        <v>833.33333333333337</v>
      </c>
      <c r="J302" s="56">
        <f t="shared" si="56"/>
        <v>-1528.5519173666207</v>
      </c>
      <c r="K302" s="13">
        <f t="shared" si="57"/>
        <v>-398952.05043268896</v>
      </c>
    </row>
    <row r="303" spans="1:11" ht="22.05" customHeight="1" outlineLevel="1" x14ac:dyDescent="0.25">
      <c r="A303" s="55">
        <f t="shared" si="47"/>
        <v>262</v>
      </c>
      <c r="B303" s="55">
        <f t="shared" si="48"/>
        <v>22</v>
      </c>
      <c r="C303" s="56">
        <f t="shared" si="49"/>
        <v>533254.38781053422</v>
      </c>
      <c r="D303" s="56">
        <f t="shared" si="50"/>
        <v>6395.2185840332877</v>
      </c>
      <c r="E303" s="15">
        <f t="shared" si="51"/>
        <v>1888.6092901623088</v>
      </c>
      <c r="F303" s="56">
        <f t="shared" si="52"/>
        <v>4506.6092938709789</v>
      </c>
      <c r="G303" s="56">
        <f t="shared" si="53"/>
        <v>528747.77851666324</v>
      </c>
      <c r="H303" s="3">
        <f t="shared" si="54"/>
        <v>5700</v>
      </c>
      <c r="I303" s="15">
        <f t="shared" si="55"/>
        <v>833.33333333333337</v>
      </c>
      <c r="J303" s="56">
        <f t="shared" si="56"/>
        <v>-1528.5519173666207</v>
      </c>
      <c r="K303" s="13">
        <f t="shared" si="57"/>
        <v>-400480.60235005559</v>
      </c>
    </row>
    <row r="304" spans="1:11" ht="22.05" customHeight="1" outlineLevel="1" x14ac:dyDescent="0.25">
      <c r="A304" s="55">
        <f t="shared" si="47"/>
        <v>263</v>
      </c>
      <c r="B304" s="55">
        <f t="shared" si="48"/>
        <v>22</v>
      </c>
      <c r="C304" s="56">
        <f t="shared" si="49"/>
        <v>528747.77851666324</v>
      </c>
      <c r="D304" s="56">
        <f t="shared" si="50"/>
        <v>6395.2185840332877</v>
      </c>
      <c r="E304" s="15">
        <f t="shared" si="51"/>
        <v>1872.6483822465159</v>
      </c>
      <c r="F304" s="56">
        <f t="shared" si="52"/>
        <v>4522.5702017867716</v>
      </c>
      <c r="G304" s="56">
        <f t="shared" si="53"/>
        <v>524225.20831487648</v>
      </c>
      <c r="H304" s="3">
        <f t="shared" si="54"/>
        <v>5700</v>
      </c>
      <c r="I304" s="15">
        <f t="shared" si="55"/>
        <v>833.33333333333337</v>
      </c>
      <c r="J304" s="56">
        <f t="shared" si="56"/>
        <v>-1528.5519173666207</v>
      </c>
      <c r="K304" s="13">
        <f t="shared" si="57"/>
        <v>-402009.15426742221</v>
      </c>
    </row>
    <row r="305" spans="1:11" ht="22.05" customHeight="1" outlineLevel="1" x14ac:dyDescent="0.25">
      <c r="A305" s="55">
        <f t="shared" si="47"/>
        <v>264</v>
      </c>
      <c r="B305" s="55">
        <f t="shared" si="48"/>
        <v>22</v>
      </c>
      <c r="C305" s="56">
        <f t="shared" si="49"/>
        <v>524225.20831487648</v>
      </c>
      <c r="D305" s="56">
        <f t="shared" si="50"/>
        <v>6395.2185840332877</v>
      </c>
      <c r="E305" s="15">
        <f t="shared" si="51"/>
        <v>1856.6309461151877</v>
      </c>
      <c r="F305" s="56">
        <f t="shared" si="52"/>
        <v>4538.5876379181</v>
      </c>
      <c r="G305" s="56">
        <f t="shared" si="53"/>
        <v>519686.62067695835</v>
      </c>
      <c r="H305" s="3">
        <f t="shared" si="54"/>
        <v>5700</v>
      </c>
      <c r="I305" s="15">
        <f t="shared" si="55"/>
        <v>833.33333333333337</v>
      </c>
      <c r="J305" s="56">
        <f t="shared" si="56"/>
        <v>-1528.5519173666207</v>
      </c>
      <c r="K305" s="13">
        <f t="shared" si="57"/>
        <v>-403537.70618478884</v>
      </c>
    </row>
    <row r="306" spans="1:11" ht="22.05" customHeight="1" outlineLevel="1" x14ac:dyDescent="0.25">
      <c r="A306" s="55">
        <f t="shared" si="47"/>
        <v>265</v>
      </c>
      <c r="B306" s="55">
        <f t="shared" si="48"/>
        <v>23</v>
      </c>
      <c r="C306" s="56">
        <f t="shared" si="49"/>
        <v>519686.62067695835</v>
      </c>
      <c r="D306" s="56">
        <f t="shared" si="50"/>
        <v>6395.2185840332877</v>
      </c>
      <c r="E306" s="15">
        <f t="shared" si="51"/>
        <v>1840.5567815642278</v>
      </c>
      <c r="F306" s="56">
        <f t="shared" si="52"/>
        <v>4554.6618024690597</v>
      </c>
      <c r="G306" s="56">
        <f t="shared" si="53"/>
        <v>515131.9588744893</v>
      </c>
      <c r="H306" s="3">
        <f t="shared" si="54"/>
        <v>5700</v>
      </c>
      <c r="I306" s="15">
        <f t="shared" si="55"/>
        <v>833.33333333333337</v>
      </c>
      <c r="J306" s="56">
        <f t="shared" si="56"/>
        <v>-1528.5519173666207</v>
      </c>
      <c r="K306" s="13">
        <f t="shared" si="57"/>
        <v>-405066.25810215547</v>
      </c>
    </row>
    <row r="307" spans="1:11" ht="22.05" customHeight="1" outlineLevel="1" x14ac:dyDescent="0.25">
      <c r="A307" s="55">
        <f t="shared" si="47"/>
        <v>266</v>
      </c>
      <c r="B307" s="55">
        <f t="shared" si="48"/>
        <v>23</v>
      </c>
      <c r="C307" s="56">
        <f t="shared" si="49"/>
        <v>515131.9588744893</v>
      </c>
      <c r="D307" s="56">
        <f t="shared" si="50"/>
        <v>6395.2185840332877</v>
      </c>
      <c r="E307" s="15">
        <f t="shared" si="51"/>
        <v>1824.425687680483</v>
      </c>
      <c r="F307" s="56">
        <f t="shared" si="52"/>
        <v>4570.7928963528047</v>
      </c>
      <c r="G307" s="56">
        <f t="shared" si="53"/>
        <v>510561.16597813647</v>
      </c>
      <c r="H307" s="3">
        <f t="shared" si="54"/>
        <v>5700</v>
      </c>
      <c r="I307" s="15">
        <f t="shared" si="55"/>
        <v>833.33333333333337</v>
      </c>
      <c r="J307" s="56">
        <f t="shared" si="56"/>
        <v>-1528.5519173666207</v>
      </c>
      <c r="K307" s="13">
        <f t="shared" si="57"/>
        <v>-406594.81001952209</v>
      </c>
    </row>
    <row r="308" spans="1:11" ht="22.05" customHeight="1" outlineLevel="1" x14ac:dyDescent="0.25">
      <c r="A308" s="55">
        <f t="shared" si="47"/>
        <v>267</v>
      </c>
      <c r="B308" s="55">
        <f t="shared" si="48"/>
        <v>23</v>
      </c>
      <c r="C308" s="56">
        <f t="shared" si="49"/>
        <v>510561.16597813647</v>
      </c>
      <c r="D308" s="56">
        <f t="shared" si="50"/>
        <v>6395.2185840332877</v>
      </c>
      <c r="E308" s="15">
        <f t="shared" si="51"/>
        <v>1808.2374628392336</v>
      </c>
      <c r="F308" s="56">
        <f t="shared" si="52"/>
        <v>4586.9811211940541</v>
      </c>
      <c r="G308" s="56">
        <f t="shared" si="53"/>
        <v>505974.18485694239</v>
      </c>
      <c r="H308" s="3">
        <f t="shared" si="54"/>
        <v>5700</v>
      </c>
      <c r="I308" s="15">
        <f t="shared" si="55"/>
        <v>833.33333333333337</v>
      </c>
      <c r="J308" s="56">
        <f t="shared" si="56"/>
        <v>-1528.5519173666207</v>
      </c>
      <c r="K308" s="13">
        <f t="shared" si="57"/>
        <v>-408123.36193688872</v>
      </c>
    </row>
    <row r="309" spans="1:11" ht="22.05" customHeight="1" outlineLevel="1" x14ac:dyDescent="0.25">
      <c r="A309" s="55">
        <f t="shared" si="47"/>
        <v>268</v>
      </c>
      <c r="B309" s="55">
        <f t="shared" si="48"/>
        <v>23</v>
      </c>
      <c r="C309" s="56">
        <f t="shared" si="49"/>
        <v>505974.18485694239</v>
      </c>
      <c r="D309" s="56">
        <f t="shared" si="50"/>
        <v>6395.2185840332877</v>
      </c>
      <c r="E309" s="15">
        <f t="shared" si="51"/>
        <v>1791.991904701671</v>
      </c>
      <c r="F309" s="56">
        <f t="shared" si="52"/>
        <v>4603.2266793316167</v>
      </c>
      <c r="G309" s="56">
        <f t="shared" si="53"/>
        <v>501370.95817761077</v>
      </c>
      <c r="H309" s="3">
        <f t="shared" si="54"/>
        <v>5700</v>
      </c>
      <c r="I309" s="15">
        <f t="shared" si="55"/>
        <v>833.33333333333337</v>
      </c>
      <c r="J309" s="56">
        <f t="shared" si="56"/>
        <v>-1528.5519173666207</v>
      </c>
      <c r="K309" s="13">
        <f t="shared" si="57"/>
        <v>-409651.91385425534</v>
      </c>
    </row>
    <row r="310" spans="1:11" ht="22.05" customHeight="1" outlineLevel="1" x14ac:dyDescent="0.25">
      <c r="A310" s="55">
        <f t="shared" si="47"/>
        <v>269</v>
      </c>
      <c r="B310" s="55">
        <f t="shared" si="48"/>
        <v>23</v>
      </c>
      <c r="C310" s="56">
        <f t="shared" si="49"/>
        <v>501370.95817761077</v>
      </c>
      <c r="D310" s="56">
        <f t="shared" si="50"/>
        <v>6395.2185840332877</v>
      </c>
      <c r="E310" s="15">
        <f t="shared" si="51"/>
        <v>1775.6888102123714</v>
      </c>
      <c r="F310" s="56">
        <f t="shared" si="52"/>
        <v>4619.5297738209165</v>
      </c>
      <c r="G310" s="56">
        <f t="shared" si="53"/>
        <v>496751.42840378988</v>
      </c>
      <c r="H310" s="3">
        <f t="shared" si="54"/>
        <v>5700</v>
      </c>
      <c r="I310" s="15">
        <f t="shared" si="55"/>
        <v>833.33333333333337</v>
      </c>
      <c r="J310" s="56">
        <f t="shared" si="56"/>
        <v>-1528.5519173666207</v>
      </c>
      <c r="K310" s="13">
        <f t="shared" si="57"/>
        <v>-411180.46577162197</v>
      </c>
    </row>
    <row r="311" spans="1:11" ht="22.05" customHeight="1" outlineLevel="1" x14ac:dyDescent="0.25">
      <c r="A311" s="55">
        <f t="shared" si="47"/>
        <v>270</v>
      </c>
      <c r="B311" s="55">
        <f t="shared" si="48"/>
        <v>23</v>
      </c>
      <c r="C311" s="56">
        <f t="shared" si="49"/>
        <v>496751.42840378988</v>
      </c>
      <c r="D311" s="56">
        <f t="shared" si="50"/>
        <v>6395.2185840332877</v>
      </c>
      <c r="E311" s="15">
        <f t="shared" si="51"/>
        <v>1759.327975596756</v>
      </c>
      <c r="F311" s="56">
        <f t="shared" si="52"/>
        <v>4635.8906084365317</v>
      </c>
      <c r="G311" s="56">
        <f t="shared" si="53"/>
        <v>492115.53779535333</v>
      </c>
      <c r="H311" s="3">
        <f t="shared" si="54"/>
        <v>5700</v>
      </c>
      <c r="I311" s="15">
        <f t="shared" si="55"/>
        <v>833.33333333333337</v>
      </c>
      <c r="J311" s="56">
        <f t="shared" si="56"/>
        <v>-1528.5519173666207</v>
      </c>
      <c r="K311" s="13">
        <f t="shared" si="57"/>
        <v>-412709.01768898859</v>
      </c>
    </row>
    <row r="312" spans="1:11" ht="22.05" customHeight="1" outlineLevel="1" x14ac:dyDescent="0.25">
      <c r="A312" s="55">
        <f t="shared" si="47"/>
        <v>271</v>
      </c>
      <c r="B312" s="55">
        <f t="shared" si="48"/>
        <v>23</v>
      </c>
      <c r="C312" s="56">
        <f t="shared" si="49"/>
        <v>492115.53779535333</v>
      </c>
      <c r="D312" s="56">
        <f t="shared" si="50"/>
        <v>6395.2185840332877</v>
      </c>
      <c r="E312" s="15">
        <f t="shared" si="51"/>
        <v>1742.9091963585431</v>
      </c>
      <c r="F312" s="56">
        <f t="shared" si="52"/>
        <v>4652.3093876747444</v>
      </c>
      <c r="G312" s="56">
        <f t="shared" si="53"/>
        <v>487463.2284076786</v>
      </c>
      <c r="H312" s="3">
        <f t="shared" si="54"/>
        <v>5700</v>
      </c>
      <c r="I312" s="15">
        <f t="shared" si="55"/>
        <v>833.33333333333337</v>
      </c>
      <c r="J312" s="56">
        <f t="shared" si="56"/>
        <v>-1528.5519173666207</v>
      </c>
      <c r="K312" s="13">
        <f t="shared" si="57"/>
        <v>-414237.56960635522</v>
      </c>
    </row>
    <row r="313" spans="1:11" ht="22.05" customHeight="1" outlineLevel="1" x14ac:dyDescent="0.25">
      <c r="A313" s="55">
        <f t="shared" si="47"/>
        <v>272</v>
      </c>
      <c r="B313" s="55">
        <f t="shared" si="48"/>
        <v>23</v>
      </c>
      <c r="C313" s="56">
        <f t="shared" si="49"/>
        <v>487463.2284076786</v>
      </c>
      <c r="D313" s="56">
        <f t="shared" si="50"/>
        <v>6395.2185840332877</v>
      </c>
      <c r="E313" s="15">
        <f t="shared" si="51"/>
        <v>1726.432267277195</v>
      </c>
      <c r="F313" s="56">
        <f t="shared" si="52"/>
        <v>4668.7863167560927</v>
      </c>
      <c r="G313" s="56">
        <f t="shared" si="53"/>
        <v>482794.4420909225</v>
      </c>
      <c r="H313" s="3">
        <f t="shared" si="54"/>
        <v>5700</v>
      </c>
      <c r="I313" s="15">
        <f t="shared" si="55"/>
        <v>833.33333333333337</v>
      </c>
      <c r="J313" s="56">
        <f t="shared" si="56"/>
        <v>-1528.5519173666207</v>
      </c>
      <c r="K313" s="13">
        <f t="shared" si="57"/>
        <v>-415766.12152372184</v>
      </c>
    </row>
    <row r="314" spans="1:11" ht="22.05" customHeight="1" outlineLevel="1" x14ac:dyDescent="0.25">
      <c r="A314" s="55">
        <f t="shared" si="47"/>
        <v>273</v>
      </c>
      <c r="B314" s="55">
        <f t="shared" si="48"/>
        <v>23</v>
      </c>
      <c r="C314" s="56">
        <f t="shared" si="49"/>
        <v>482794.4420909225</v>
      </c>
      <c r="D314" s="56">
        <f t="shared" si="50"/>
        <v>6395.2185840332877</v>
      </c>
      <c r="E314" s="15">
        <f t="shared" si="51"/>
        <v>1709.8969824053509</v>
      </c>
      <c r="F314" s="56">
        <f t="shared" si="52"/>
        <v>4685.3216016279366</v>
      </c>
      <c r="G314" s="56">
        <f t="shared" si="53"/>
        <v>478109.12048929458</v>
      </c>
      <c r="H314" s="3">
        <f t="shared" si="54"/>
        <v>5700</v>
      </c>
      <c r="I314" s="15">
        <f t="shared" si="55"/>
        <v>833.33333333333337</v>
      </c>
      <c r="J314" s="56">
        <f t="shared" si="56"/>
        <v>-1528.5519173666207</v>
      </c>
      <c r="K314" s="13">
        <f t="shared" si="57"/>
        <v>-417294.67344108847</v>
      </c>
    </row>
    <row r="315" spans="1:11" ht="22.05" customHeight="1" outlineLevel="1" x14ac:dyDescent="0.25">
      <c r="A315" s="55">
        <f t="shared" si="47"/>
        <v>274</v>
      </c>
      <c r="B315" s="55">
        <f t="shared" si="48"/>
        <v>23</v>
      </c>
      <c r="C315" s="56">
        <f t="shared" si="49"/>
        <v>478109.12048929458</v>
      </c>
      <c r="D315" s="56">
        <f t="shared" si="50"/>
        <v>6395.2185840332877</v>
      </c>
      <c r="E315" s="15">
        <f t="shared" si="51"/>
        <v>1693.3031350662516</v>
      </c>
      <c r="F315" s="56">
        <f t="shared" si="52"/>
        <v>4701.9154489670364</v>
      </c>
      <c r="G315" s="56">
        <f t="shared" si="53"/>
        <v>473407.20504032756</v>
      </c>
      <c r="H315" s="3">
        <f t="shared" si="54"/>
        <v>5700</v>
      </c>
      <c r="I315" s="15">
        <f t="shared" si="55"/>
        <v>833.33333333333337</v>
      </c>
      <c r="J315" s="56">
        <f t="shared" si="56"/>
        <v>-1528.5519173666207</v>
      </c>
      <c r="K315" s="13">
        <f t="shared" si="57"/>
        <v>-418823.22535845509</v>
      </c>
    </row>
    <row r="316" spans="1:11" ht="22.05" customHeight="1" outlineLevel="1" x14ac:dyDescent="0.25">
      <c r="A316" s="55">
        <f t="shared" si="47"/>
        <v>275</v>
      </c>
      <c r="B316" s="55">
        <f t="shared" si="48"/>
        <v>23</v>
      </c>
      <c r="C316" s="56">
        <f t="shared" si="49"/>
        <v>473407.20504032756</v>
      </c>
      <c r="D316" s="56">
        <f t="shared" si="50"/>
        <v>6395.2185840332877</v>
      </c>
      <c r="E316" s="15">
        <f t="shared" si="51"/>
        <v>1676.6505178511604</v>
      </c>
      <c r="F316" s="56">
        <f t="shared" si="52"/>
        <v>4718.568066182127</v>
      </c>
      <c r="G316" s="56">
        <f t="shared" si="53"/>
        <v>468688.63697414543</v>
      </c>
      <c r="H316" s="3">
        <f t="shared" si="54"/>
        <v>5700</v>
      </c>
      <c r="I316" s="15">
        <f t="shared" si="55"/>
        <v>833.33333333333337</v>
      </c>
      <c r="J316" s="56">
        <f t="shared" si="56"/>
        <v>-1528.5519173666207</v>
      </c>
      <c r="K316" s="13">
        <f t="shared" si="57"/>
        <v>-420351.77727582172</v>
      </c>
    </row>
    <row r="317" spans="1:11" ht="22.05" customHeight="1" outlineLevel="1" x14ac:dyDescent="0.25">
      <c r="A317" s="55">
        <f t="shared" si="47"/>
        <v>276</v>
      </c>
      <c r="B317" s="55">
        <f t="shared" si="48"/>
        <v>23</v>
      </c>
      <c r="C317" s="56">
        <f t="shared" si="49"/>
        <v>468688.63697414543</v>
      </c>
      <c r="D317" s="56">
        <f t="shared" si="50"/>
        <v>6395.2185840332877</v>
      </c>
      <c r="E317" s="15">
        <f t="shared" si="51"/>
        <v>1659.9389226167652</v>
      </c>
      <c r="F317" s="56">
        <f t="shared" si="52"/>
        <v>4735.2796614165227</v>
      </c>
      <c r="G317" s="56">
        <f t="shared" si="53"/>
        <v>463953.35731272888</v>
      </c>
      <c r="H317" s="3">
        <f t="shared" si="54"/>
        <v>5700</v>
      </c>
      <c r="I317" s="15">
        <f t="shared" si="55"/>
        <v>833.33333333333337</v>
      </c>
      <c r="J317" s="56">
        <f t="shared" si="56"/>
        <v>-1528.5519173666207</v>
      </c>
      <c r="K317" s="13">
        <f t="shared" si="57"/>
        <v>-421880.32919318834</v>
      </c>
    </row>
    <row r="318" spans="1:11" ht="22.05" customHeight="1" outlineLevel="1" x14ac:dyDescent="0.25">
      <c r="A318" s="55">
        <f t="shared" si="47"/>
        <v>277</v>
      </c>
      <c r="B318" s="55">
        <f t="shared" si="48"/>
        <v>24</v>
      </c>
      <c r="C318" s="56">
        <f t="shared" si="49"/>
        <v>463953.35731272888</v>
      </c>
      <c r="D318" s="56">
        <f t="shared" si="50"/>
        <v>6395.2185840332877</v>
      </c>
      <c r="E318" s="15">
        <f t="shared" si="51"/>
        <v>1643.1681404825815</v>
      </c>
      <c r="F318" s="56">
        <f t="shared" si="52"/>
        <v>4752.0504435507064</v>
      </c>
      <c r="G318" s="56">
        <f t="shared" si="53"/>
        <v>459201.3068691782</v>
      </c>
      <c r="H318" s="3">
        <f t="shared" si="54"/>
        <v>5700</v>
      </c>
      <c r="I318" s="15">
        <f t="shared" si="55"/>
        <v>833.33333333333337</v>
      </c>
      <c r="J318" s="56">
        <f t="shared" si="56"/>
        <v>-1528.5519173666207</v>
      </c>
      <c r="K318" s="13">
        <f t="shared" si="57"/>
        <v>-423408.88111055497</v>
      </c>
    </row>
    <row r="319" spans="1:11" ht="22.05" customHeight="1" outlineLevel="1" x14ac:dyDescent="0.25">
      <c r="A319" s="55">
        <f t="shared" si="47"/>
        <v>278</v>
      </c>
      <c r="B319" s="55">
        <f t="shared" si="48"/>
        <v>24</v>
      </c>
      <c r="C319" s="56">
        <f t="shared" si="49"/>
        <v>459201.3068691782</v>
      </c>
      <c r="D319" s="56">
        <f t="shared" si="50"/>
        <v>6395.2185840332877</v>
      </c>
      <c r="E319" s="15">
        <f t="shared" si="51"/>
        <v>1626.3379618283395</v>
      </c>
      <c r="F319" s="56">
        <f t="shared" si="52"/>
        <v>4768.8806222049479</v>
      </c>
      <c r="G319" s="56">
        <f t="shared" si="53"/>
        <v>454432.42624697322</v>
      </c>
      <c r="H319" s="3">
        <f t="shared" si="54"/>
        <v>5700</v>
      </c>
      <c r="I319" s="15">
        <f t="shared" si="55"/>
        <v>833.33333333333337</v>
      </c>
      <c r="J319" s="56">
        <f t="shared" si="56"/>
        <v>-1528.5519173666207</v>
      </c>
      <c r="K319" s="13">
        <f t="shared" si="57"/>
        <v>-424937.43302792159</v>
      </c>
    </row>
    <row r="320" spans="1:11" ht="22.05" customHeight="1" outlineLevel="1" x14ac:dyDescent="0.25">
      <c r="A320" s="55">
        <f t="shared" si="47"/>
        <v>279</v>
      </c>
      <c r="B320" s="55">
        <f t="shared" si="48"/>
        <v>24</v>
      </c>
      <c r="C320" s="56">
        <f t="shared" si="49"/>
        <v>454432.42624697322</v>
      </c>
      <c r="D320" s="56">
        <f t="shared" si="50"/>
        <v>6395.2185840332877</v>
      </c>
      <c r="E320" s="15">
        <f t="shared" si="51"/>
        <v>1609.4481762913636</v>
      </c>
      <c r="F320" s="56">
        <f t="shared" si="52"/>
        <v>4785.7704077419239</v>
      </c>
      <c r="G320" s="56">
        <f t="shared" si="53"/>
        <v>449646.65583923127</v>
      </c>
      <c r="H320" s="3">
        <f t="shared" si="54"/>
        <v>5700</v>
      </c>
      <c r="I320" s="15">
        <f t="shared" si="55"/>
        <v>833.33333333333337</v>
      </c>
      <c r="J320" s="56">
        <f t="shared" si="56"/>
        <v>-1528.5519173666207</v>
      </c>
      <c r="K320" s="13">
        <f t="shared" si="57"/>
        <v>-426465.98494528822</v>
      </c>
    </row>
    <row r="321" spans="1:11" ht="22.05" customHeight="1" outlineLevel="1" x14ac:dyDescent="0.25">
      <c r="A321" s="55">
        <f t="shared" si="47"/>
        <v>280</v>
      </c>
      <c r="B321" s="55">
        <f t="shared" si="48"/>
        <v>24</v>
      </c>
      <c r="C321" s="56">
        <f t="shared" si="49"/>
        <v>449646.65583923127</v>
      </c>
      <c r="D321" s="56">
        <f t="shared" si="50"/>
        <v>6395.2185840332877</v>
      </c>
      <c r="E321" s="15">
        <f t="shared" si="51"/>
        <v>1592.4985727639441</v>
      </c>
      <c r="F321" s="56">
        <f t="shared" si="52"/>
        <v>4802.7200112693436</v>
      </c>
      <c r="G321" s="56">
        <f t="shared" si="53"/>
        <v>444843.93582796195</v>
      </c>
      <c r="H321" s="3">
        <f t="shared" si="54"/>
        <v>5700</v>
      </c>
      <c r="I321" s="15">
        <f t="shared" si="55"/>
        <v>833.33333333333337</v>
      </c>
      <c r="J321" s="56">
        <f t="shared" si="56"/>
        <v>-1528.5519173666207</v>
      </c>
      <c r="K321" s="13">
        <f t="shared" si="57"/>
        <v>-427994.53686265484</v>
      </c>
    </row>
    <row r="322" spans="1:11" ht="22.05" customHeight="1" outlineLevel="1" x14ac:dyDescent="0.25">
      <c r="A322" s="55">
        <f t="shared" si="47"/>
        <v>281</v>
      </c>
      <c r="B322" s="55">
        <f t="shared" si="48"/>
        <v>24</v>
      </c>
      <c r="C322" s="56">
        <f t="shared" si="49"/>
        <v>444843.93582796195</v>
      </c>
      <c r="D322" s="56">
        <f t="shared" si="50"/>
        <v>6395.2185840332877</v>
      </c>
      <c r="E322" s="15">
        <f t="shared" si="51"/>
        <v>1575.4889393906988</v>
      </c>
      <c r="F322" s="56">
        <f t="shared" si="52"/>
        <v>4819.7296446425889</v>
      </c>
      <c r="G322" s="56">
        <f t="shared" si="53"/>
        <v>440024.20618331939</v>
      </c>
      <c r="H322" s="3">
        <f t="shared" si="54"/>
        <v>5700</v>
      </c>
      <c r="I322" s="15">
        <f t="shared" si="55"/>
        <v>833.33333333333337</v>
      </c>
      <c r="J322" s="56">
        <f t="shared" si="56"/>
        <v>-1528.5519173666207</v>
      </c>
      <c r="K322" s="13">
        <f t="shared" si="57"/>
        <v>-429523.08878002147</v>
      </c>
    </row>
    <row r="323" spans="1:11" ht="22.05" customHeight="1" outlineLevel="1" x14ac:dyDescent="0.25">
      <c r="A323" s="55">
        <f t="shared" si="47"/>
        <v>282</v>
      </c>
      <c r="B323" s="55">
        <f t="shared" si="48"/>
        <v>24</v>
      </c>
      <c r="C323" s="56">
        <f t="shared" si="49"/>
        <v>440024.20618331939</v>
      </c>
      <c r="D323" s="56">
        <f t="shared" si="50"/>
        <v>6395.2185840332877</v>
      </c>
      <c r="E323" s="15">
        <f t="shared" si="51"/>
        <v>1558.4190635659231</v>
      </c>
      <c r="F323" s="56">
        <f t="shared" si="52"/>
        <v>4836.7995204673643</v>
      </c>
      <c r="G323" s="56">
        <f t="shared" si="53"/>
        <v>435187.40666285204</v>
      </c>
      <c r="H323" s="3">
        <f t="shared" si="54"/>
        <v>5700</v>
      </c>
      <c r="I323" s="15">
        <f t="shared" si="55"/>
        <v>833.33333333333337</v>
      </c>
      <c r="J323" s="56">
        <f t="shared" si="56"/>
        <v>-1528.5519173666207</v>
      </c>
      <c r="K323" s="13">
        <f t="shared" si="57"/>
        <v>-431051.64069738809</v>
      </c>
    </row>
    <row r="324" spans="1:11" ht="22.05" customHeight="1" outlineLevel="1" x14ac:dyDescent="0.25">
      <c r="A324" s="55">
        <f t="shared" si="47"/>
        <v>283</v>
      </c>
      <c r="B324" s="55">
        <f t="shared" si="48"/>
        <v>24</v>
      </c>
      <c r="C324" s="56">
        <f t="shared" si="49"/>
        <v>435187.40666285204</v>
      </c>
      <c r="D324" s="56">
        <f t="shared" si="50"/>
        <v>6395.2185840332877</v>
      </c>
      <c r="E324" s="15">
        <f t="shared" si="51"/>
        <v>1541.2887319309345</v>
      </c>
      <c r="F324" s="56">
        <f t="shared" si="52"/>
        <v>4853.9298521023529</v>
      </c>
      <c r="G324" s="56">
        <f t="shared" si="53"/>
        <v>430333.47681074968</v>
      </c>
      <c r="H324" s="3">
        <f t="shared" si="54"/>
        <v>5700</v>
      </c>
      <c r="I324" s="15">
        <f t="shared" si="55"/>
        <v>833.33333333333337</v>
      </c>
      <c r="J324" s="56">
        <f t="shared" si="56"/>
        <v>-1528.5519173666207</v>
      </c>
      <c r="K324" s="13">
        <f t="shared" si="57"/>
        <v>-432580.19261475472</v>
      </c>
    </row>
    <row r="325" spans="1:11" ht="22.05" customHeight="1" outlineLevel="1" x14ac:dyDescent="0.25">
      <c r="A325" s="55">
        <f t="shared" si="47"/>
        <v>284</v>
      </c>
      <c r="B325" s="55">
        <f t="shared" si="48"/>
        <v>24</v>
      </c>
      <c r="C325" s="56">
        <f t="shared" si="49"/>
        <v>430333.47681074968</v>
      </c>
      <c r="D325" s="56">
        <f t="shared" si="50"/>
        <v>6395.2185840332877</v>
      </c>
      <c r="E325" s="15">
        <f t="shared" si="51"/>
        <v>1524.0977303714053</v>
      </c>
      <c r="F325" s="56">
        <f t="shared" si="52"/>
        <v>4871.1208536618824</v>
      </c>
      <c r="G325" s="56">
        <f t="shared" si="53"/>
        <v>425462.35595708777</v>
      </c>
      <c r="H325" s="3">
        <f t="shared" si="54"/>
        <v>5700</v>
      </c>
      <c r="I325" s="15">
        <f t="shared" si="55"/>
        <v>833.33333333333337</v>
      </c>
      <c r="J325" s="56">
        <f t="shared" si="56"/>
        <v>-1528.5519173666207</v>
      </c>
      <c r="K325" s="13">
        <f t="shared" si="57"/>
        <v>-434108.74453212135</v>
      </c>
    </row>
    <row r="326" spans="1:11" ht="22.05" customHeight="1" outlineLevel="1" x14ac:dyDescent="0.25">
      <c r="A326" s="55">
        <f t="shared" si="47"/>
        <v>285</v>
      </c>
      <c r="B326" s="55">
        <f t="shared" si="48"/>
        <v>24</v>
      </c>
      <c r="C326" s="56">
        <f t="shared" si="49"/>
        <v>425462.35595708777</v>
      </c>
      <c r="D326" s="56">
        <f t="shared" si="50"/>
        <v>6395.2185840332877</v>
      </c>
      <c r="E326" s="15">
        <f t="shared" si="51"/>
        <v>1506.845844014686</v>
      </c>
      <c r="F326" s="56">
        <f t="shared" si="52"/>
        <v>4888.3727400186017</v>
      </c>
      <c r="G326" s="56">
        <f t="shared" si="53"/>
        <v>420573.98321706918</v>
      </c>
      <c r="H326" s="3">
        <f t="shared" si="54"/>
        <v>5700</v>
      </c>
      <c r="I326" s="15">
        <f t="shared" si="55"/>
        <v>833.33333333333337</v>
      </c>
      <c r="J326" s="56">
        <f t="shared" si="56"/>
        <v>-1528.5519173666207</v>
      </c>
      <c r="K326" s="13">
        <f t="shared" si="57"/>
        <v>-435637.29644948797</v>
      </c>
    </row>
    <row r="327" spans="1:11" ht="22.05" customHeight="1" outlineLevel="1" x14ac:dyDescent="0.25">
      <c r="A327" s="55">
        <f t="shared" si="47"/>
        <v>286</v>
      </c>
      <c r="B327" s="55">
        <f t="shared" si="48"/>
        <v>24</v>
      </c>
      <c r="C327" s="56">
        <f t="shared" si="49"/>
        <v>420573.98321706918</v>
      </c>
      <c r="D327" s="56">
        <f t="shared" si="50"/>
        <v>6395.2185840332877</v>
      </c>
      <c r="E327" s="15">
        <f t="shared" si="51"/>
        <v>1489.5328572271201</v>
      </c>
      <c r="F327" s="56">
        <f t="shared" si="52"/>
        <v>4905.6857268061676</v>
      </c>
      <c r="G327" s="56">
        <f t="shared" si="53"/>
        <v>415668.29749026301</v>
      </c>
      <c r="H327" s="3">
        <f t="shared" si="54"/>
        <v>5700</v>
      </c>
      <c r="I327" s="15">
        <f t="shared" si="55"/>
        <v>833.33333333333337</v>
      </c>
      <c r="J327" s="56">
        <f t="shared" si="56"/>
        <v>-1528.5519173666207</v>
      </c>
      <c r="K327" s="13">
        <f t="shared" si="57"/>
        <v>-437165.8483668546</v>
      </c>
    </row>
    <row r="328" spans="1:11" ht="22.05" customHeight="1" outlineLevel="1" x14ac:dyDescent="0.25">
      <c r="A328" s="55">
        <f t="shared" si="47"/>
        <v>287</v>
      </c>
      <c r="B328" s="55">
        <f t="shared" si="48"/>
        <v>24</v>
      </c>
      <c r="C328" s="56">
        <f t="shared" si="49"/>
        <v>415668.29749026301</v>
      </c>
      <c r="D328" s="56">
        <f t="shared" si="50"/>
        <v>6395.2185840332877</v>
      </c>
      <c r="E328" s="15">
        <f t="shared" si="51"/>
        <v>1472.1585536113482</v>
      </c>
      <c r="F328" s="56">
        <f t="shared" si="52"/>
        <v>4923.0600304219397</v>
      </c>
      <c r="G328" s="56">
        <f t="shared" si="53"/>
        <v>410745.23745984107</v>
      </c>
      <c r="H328" s="3">
        <f t="shared" si="54"/>
        <v>5700</v>
      </c>
      <c r="I328" s="15">
        <f t="shared" si="55"/>
        <v>833.33333333333337</v>
      </c>
      <c r="J328" s="56">
        <f t="shared" si="56"/>
        <v>-1528.5519173666207</v>
      </c>
      <c r="K328" s="13">
        <f t="shared" si="57"/>
        <v>-438694.40028422122</v>
      </c>
    </row>
    <row r="329" spans="1:11" ht="22.05" customHeight="1" outlineLevel="1" x14ac:dyDescent="0.25">
      <c r="A329" s="55">
        <f t="shared" si="47"/>
        <v>288</v>
      </c>
      <c r="B329" s="55">
        <f t="shared" si="48"/>
        <v>24</v>
      </c>
      <c r="C329" s="56">
        <f t="shared" si="49"/>
        <v>410745.23745984107</v>
      </c>
      <c r="D329" s="56">
        <f t="shared" si="50"/>
        <v>6395.2185840332877</v>
      </c>
      <c r="E329" s="15">
        <f t="shared" si="51"/>
        <v>1454.7227160036039</v>
      </c>
      <c r="F329" s="56">
        <f t="shared" si="52"/>
        <v>4940.4958680296841</v>
      </c>
      <c r="G329" s="56">
        <f t="shared" si="53"/>
        <v>405804.74159181141</v>
      </c>
      <c r="H329" s="3">
        <f t="shared" si="54"/>
        <v>5700</v>
      </c>
      <c r="I329" s="15">
        <f t="shared" si="55"/>
        <v>833.33333333333337</v>
      </c>
      <c r="J329" s="56">
        <f t="shared" si="56"/>
        <v>-1528.5519173666207</v>
      </c>
      <c r="K329" s="13">
        <f t="shared" si="57"/>
        <v>-440222.95220158785</v>
      </c>
    </row>
    <row r="330" spans="1:11" ht="22.05" customHeight="1" outlineLevel="1" x14ac:dyDescent="0.25">
      <c r="A330" s="55">
        <f t="shared" si="47"/>
        <v>289</v>
      </c>
      <c r="B330" s="55">
        <f t="shared" si="48"/>
        <v>25</v>
      </c>
      <c r="C330" s="56">
        <f t="shared" si="49"/>
        <v>405804.74159181141</v>
      </c>
      <c r="D330" s="56">
        <f t="shared" si="50"/>
        <v>6395.2185840332877</v>
      </c>
      <c r="E330" s="15">
        <f t="shared" si="51"/>
        <v>1437.2251264709987</v>
      </c>
      <c r="F330" s="56">
        <f t="shared" si="52"/>
        <v>4957.9934575622892</v>
      </c>
      <c r="G330" s="56">
        <f t="shared" si="53"/>
        <v>400846.74813424912</v>
      </c>
      <c r="H330" s="3">
        <f t="shared" si="54"/>
        <v>5700</v>
      </c>
      <c r="I330" s="15">
        <f t="shared" si="55"/>
        <v>833.33333333333337</v>
      </c>
      <c r="J330" s="56">
        <f t="shared" si="56"/>
        <v>-1528.5519173666207</v>
      </c>
      <c r="K330" s="13">
        <f t="shared" si="57"/>
        <v>-441751.50411895447</v>
      </c>
    </row>
    <row r="331" spans="1:11" ht="22.05" customHeight="1" outlineLevel="1" x14ac:dyDescent="0.25">
      <c r="A331" s="55">
        <f t="shared" si="47"/>
        <v>290</v>
      </c>
      <c r="B331" s="55">
        <f t="shared" si="48"/>
        <v>25</v>
      </c>
      <c r="C331" s="56">
        <f t="shared" si="49"/>
        <v>400846.74813424912</v>
      </c>
      <c r="D331" s="56">
        <f t="shared" si="50"/>
        <v>6395.2185840332877</v>
      </c>
      <c r="E331" s="15">
        <f t="shared" si="51"/>
        <v>1419.6655663087993</v>
      </c>
      <c r="F331" s="56">
        <f t="shared" si="52"/>
        <v>4975.5530177244882</v>
      </c>
      <c r="G331" s="56">
        <f t="shared" si="53"/>
        <v>395871.19511652464</v>
      </c>
      <c r="H331" s="3">
        <f t="shared" si="54"/>
        <v>5700</v>
      </c>
      <c r="I331" s="15">
        <f t="shared" si="55"/>
        <v>833.33333333333337</v>
      </c>
      <c r="J331" s="56">
        <f t="shared" si="56"/>
        <v>-1528.5519173666207</v>
      </c>
      <c r="K331" s="13">
        <f t="shared" si="57"/>
        <v>-443280.0560363211</v>
      </c>
    </row>
    <row r="332" spans="1:11" ht="22.05" customHeight="1" outlineLevel="1" x14ac:dyDescent="0.25">
      <c r="A332" s="55">
        <f t="shared" si="47"/>
        <v>291</v>
      </c>
      <c r="B332" s="55">
        <f t="shared" si="48"/>
        <v>25</v>
      </c>
      <c r="C332" s="56">
        <f t="shared" si="49"/>
        <v>395871.19511652464</v>
      </c>
      <c r="D332" s="56">
        <f t="shared" si="50"/>
        <v>6395.2185840332877</v>
      </c>
      <c r="E332" s="15">
        <f t="shared" si="51"/>
        <v>1402.0438160376916</v>
      </c>
      <c r="F332" s="56">
        <f t="shared" si="52"/>
        <v>4993.1747679955961</v>
      </c>
      <c r="G332" s="56">
        <f t="shared" si="53"/>
        <v>390878.02034852904</v>
      </c>
      <c r="H332" s="3">
        <f t="shared" si="54"/>
        <v>5700</v>
      </c>
      <c r="I332" s="15">
        <f t="shared" si="55"/>
        <v>833.33333333333337</v>
      </c>
      <c r="J332" s="56">
        <f t="shared" si="56"/>
        <v>-1528.5519173666207</v>
      </c>
      <c r="K332" s="13">
        <f t="shared" si="57"/>
        <v>-444808.60795368772</v>
      </c>
    </row>
    <row r="333" spans="1:11" ht="22.05" customHeight="1" outlineLevel="1" x14ac:dyDescent="0.25">
      <c r="A333" s="55">
        <f t="shared" si="47"/>
        <v>292</v>
      </c>
      <c r="B333" s="55">
        <f t="shared" si="48"/>
        <v>25</v>
      </c>
      <c r="C333" s="56">
        <f t="shared" si="49"/>
        <v>390878.02034852904</v>
      </c>
      <c r="D333" s="56">
        <f t="shared" si="50"/>
        <v>6395.2185840332877</v>
      </c>
      <c r="E333" s="15">
        <f t="shared" si="51"/>
        <v>1384.3596554010403</v>
      </c>
      <c r="F333" s="56">
        <f t="shared" si="52"/>
        <v>5010.8589286322476</v>
      </c>
      <c r="G333" s="56">
        <f t="shared" si="53"/>
        <v>385867.16141989682</v>
      </c>
      <c r="H333" s="3">
        <f t="shared" si="54"/>
        <v>5700</v>
      </c>
      <c r="I333" s="15">
        <f t="shared" si="55"/>
        <v>833.33333333333337</v>
      </c>
      <c r="J333" s="56">
        <f t="shared" si="56"/>
        <v>-1528.5519173666207</v>
      </c>
      <c r="K333" s="13">
        <f t="shared" si="57"/>
        <v>-446337.15987105435</v>
      </c>
    </row>
    <row r="334" spans="1:11" ht="22.05" customHeight="1" outlineLevel="1" x14ac:dyDescent="0.25">
      <c r="A334" s="55">
        <f t="shared" si="47"/>
        <v>293</v>
      </c>
      <c r="B334" s="55">
        <f t="shared" si="48"/>
        <v>25</v>
      </c>
      <c r="C334" s="56">
        <f t="shared" si="49"/>
        <v>385867.16141989682</v>
      </c>
      <c r="D334" s="56">
        <f t="shared" si="50"/>
        <v>6395.2185840332877</v>
      </c>
      <c r="E334" s="15">
        <f t="shared" si="51"/>
        <v>1366.6128633621347</v>
      </c>
      <c r="F334" s="56">
        <f t="shared" si="52"/>
        <v>5028.605720671153</v>
      </c>
      <c r="G334" s="56">
        <f t="shared" si="53"/>
        <v>380838.55569922569</v>
      </c>
      <c r="H334" s="3">
        <f t="shared" si="54"/>
        <v>5700</v>
      </c>
      <c r="I334" s="15">
        <f t="shared" si="55"/>
        <v>833.33333333333337</v>
      </c>
      <c r="J334" s="56">
        <f t="shared" si="56"/>
        <v>-1528.5519173666207</v>
      </c>
      <c r="K334" s="13">
        <f t="shared" si="57"/>
        <v>-447865.71178842097</v>
      </c>
    </row>
    <row r="335" spans="1:11" ht="22.05" customHeight="1" outlineLevel="1" x14ac:dyDescent="0.25">
      <c r="A335" s="55">
        <f t="shared" si="47"/>
        <v>294</v>
      </c>
      <c r="B335" s="55">
        <f t="shared" si="48"/>
        <v>25</v>
      </c>
      <c r="C335" s="56">
        <f t="shared" si="49"/>
        <v>380838.55569922569</v>
      </c>
      <c r="D335" s="56">
        <f t="shared" si="50"/>
        <v>6395.2185840332877</v>
      </c>
      <c r="E335" s="15">
        <f t="shared" si="51"/>
        <v>1348.8032181014244</v>
      </c>
      <c r="F335" s="56">
        <f t="shared" si="52"/>
        <v>5046.4153659318636</v>
      </c>
      <c r="G335" s="56">
        <f t="shared" si="53"/>
        <v>375792.14033329382</v>
      </c>
      <c r="H335" s="3">
        <f t="shared" si="54"/>
        <v>5700</v>
      </c>
      <c r="I335" s="15">
        <f t="shared" si="55"/>
        <v>833.33333333333337</v>
      </c>
      <c r="J335" s="56">
        <f t="shared" si="56"/>
        <v>-1528.5519173666207</v>
      </c>
      <c r="K335" s="13">
        <f t="shared" si="57"/>
        <v>-449394.2637057876</v>
      </c>
    </row>
    <row r="336" spans="1:11" ht="22.05" customHeight="1" outlineLevel="1" x14ac:dyDescent="0.25">
      <c r="A336" s="55">
        <f t="shared" si="47"/>
        <v>295</v>
      </c>
      <c r="B336" s="55">
        <f t="shared" si="48"/>
        <v>25</v>
      </c>
      <c r="C336" s="56">
        <f t="shared" si="49"/>
        <v>375792.14033329382</v>
      </c>
      <c r="D336" s="56">
        <f t="shared" si="50"/>
        <v>6395.2185840332877</v>
      </c>
      <c r="E336" s="15">
        <f t="shared" si="51"/>
        <v>1330.9304970137491</v>
      </c>
      <c r="F336" s="56">
        <f t="shared" si="52"/>
        <v>5064.2880870195386</v>
      </c>
      <c r="G336" s="56">
        <f t="shared" si="53"/>
        <v>370727.8522462743</v>
      </c>
      <c r="H336" s="3">
        <f t="shared" si="54"/>
        <v>5700</v>
      </c>
      <c r="I336" s="15">
        <f t="shared" si="55"/>
        <v>833.33333333333337</v>
      </c>
      <c r="J336" s="56">
        <f t="shared" si="56"/>
        <v>-1528.5519173666207</v>
      </c>
      <c r="K336" s="13">
        <f t="shared" si="57"/>
        <v>-450922.81562315422</v>
      </c>
    </row>
    <row r="337" spans="1:11" ht="22.05" customHeight="1" outlineLevel="1" x14ac:dyDescent="0.25">
      <c r="A337" s="55">
        <f t="shared" si="47"/>
        <v>296</v>
      </c>
      <c r="B337" s="55">
        <f t="shared" si="48"/>
        <v>25</v>
      </c>
      <c r="C337" s="56">
        <f t="shared" si="49"/>
        <v>370727.8522462743</v>
      </c>
      <c r="D337" s="56">
        <f t="shared" si="50"/>
        <v>6395.2185840332877</v>
      </c>
      <c r="E337" s="15">
        <f t="shared" si="51"/>
        <v>1312.9944767055549</v>
      </c>
      <c r="F337" s="56">
        <f t="shared" si="52"/>
        <v>5082.2241073277328</v>
      </c>
      <c r="G337" s="56">
        <f t="shared" si="53"/>
        <v>365645.62813894654</v>
      </c>
      <c r="H337" s="3">
        <f t="shared" si="54"/>
        <v>5700</v>
      </c>
      <c r="I337" s="15">
        <f t="shared" si="55"/>
        <v>833.33333333333337</v>
      </c>
      <c r="J337" s="56">
        <f t="shared" si="56"/>
        <v>-1528.5519173666207</v>
      </c>
      <c r="K337" s="13">
        <f t="shared" si="57"/>
        <v>-452451.36754052085</v>
      </c>
    </row>
    <row r="338" spans="1:11" ht="22.05" customHeight="1" outlineLevel="1" x14ac:dyDescent="0.25">
      <c r="A338" s="55">
        <f t="shared" si="47"/>
        <v>297</v>
      </c>
      <c r="B338" s="55">
        <f t="shared" si="48"/>
        <v>25</v>
      </c>
      <c r="C338" s="56">
        <f t="shared" si="49"/>
        <v>365645.62813894654</v>
      </c>
      <c r="D338" s="56">
        <f t="shared" si="50"/>
        <v>6395.2185840332877</v>
      </c>
      <c r="E338" s="15">
        <f t="shared" si="51"/>
        <v>1294.9949329921026</v>
      </c>
      <c r="F338" s="56">
        <f t="shared" si="52"/>
        <v>5100.2236510411849</v>
      </c>
      <c r="G338" s="56">
        <f t="shared" si="53"/>
        <v>360545.40448790538</v>
      </c>
      <c r="H338" s="3">
        <f t="shared" si="54"/>
        <v>5700</v>
      </c>
      <c r="I338" s="15">
        <f t="shared" si="55"/>
        <v>833.33333333333337</v>
      </c>
      <c r="J338" s="56">
        <f t="shared" si="56"/>
        <v>-1528.5519173666207</v>
      </c>
      <c r="K338" s="13">
        <f t="shared" si="57"/>
        <v>-453979.91945788747</v>
      </c>
    </row>
    <row r="339" spans="1:11" ht="22.05" customHeight="1" outlineLevel="1" x14ac:dyDescent="0.25">
      <c r="A339" s="55">
        <f t="shared" si="47"/>
        <v>298</v>
      </c>
      <c r="B339" s="55">
        <f t="shared" si="48"/>
        <v>25</v>
      </c>
      <c r="C339" s="56">
        <f t="shared" si="49"/>
        <v>360545.40448790538</v>
      </c>
      <c r="D339" s="56">
        <f t="shared" si="50"/>
        <v>6395.2185840332877</v>
      </c>
      <c r="E339" s="15">
        <f t="shared" si="51"/>
        <v>1276.931640894665</v>
      </c>
      <c r="F339" s="56">
        <f t="shared" si="52"/>
        <v>5118.2869431386225</v>
      </c>
      <c r="G339" s="56">
        <f t="shared" si="53"/>
        <v>355427.11754476675</v>
      </c>
      <c r="H339" s="3">
        <f t="shared" si="54"/>
        <v>5700</v>
      </c>
      <c r="I339" s="15">
        <f t="shared" si="55"/>
        <v>833.33333333333337</v>
      </c>
      <c r="J339" s="56">
        <f t="shared" si="56"/>
        <v>-1528.5519173666207</v>
      </c>
      <c r="K339" s="13">
        <f t="shared" si="57"/>
        <v>-455508.4713752541</v>
      </c>
    </row>
    <row r="340" spans="1:11" ht="22.05" customHeight="1" outlineLevel="1" x14ac:dyDescent="0.25">
      <c r="A340" s="55">
        <f t="shared" si="47"/>
        <v>299</v>
      </c>
      <c r="B340" s="55">
        <f t="shared" si="48"/>
        <v>25</v>
      </c>
      <c r="C340" s="56">
        <f t="shared" si="49"/>
        <v>355427.11754476675</v>
      </c>
      <c r="D340" s="56">
        <f t="shared" si="50"/>
        <v>6395.2185840332877</v>
      </c>
      <c r="E340" s="15">
        <f t="shared" si="51"/>
        <v>1258.8043746377157</v>
      </c>
      <c r="F340" s="56">
        <f t="shared" si="52"/>
        <v>5136.4142093955725</v>
      </c>
      <c r="G340" s="56">
        <f t="shared" si="53"/>
        <v>350290.70333537116</v>
      </c>
      <c r="H340" s="3">
        <f t="shared" si="54"/>
        <v>5700</v>
      </c>
      <c r="I340" s="15">
        <f t="shared" si="55"/>
        <v>833.33333333333337</v>
      </c>
      <c r="J340" s="56">
        <f t="shared" si="56"/>
        <v>-1528.5519173666207</v>
      </c>
      <c r="K340" s="13">
        <f t="shared" si="57"/>
        <v>-457037.02329262072</v>
      </c>
    </row>
    <row r="341" spans="1:11" ht="22.05" customHeight="1" outlineLevel="1" x14ac:dyDescent="0.25">
      <c r="A341" s="55">
        <f t="shared" si="47"/>
        <v>300</v>
      </c>
      <c r="B341" s="55">
        <f t="shared" si="48"/>
        <v>25</v>
      </c>
      <c r="C341" s="56">
        <f t="shared" si="49"/>
        <v>350290.70333537116</v>
      </c>
      <c r="D341" s="56">
        <f t="shared" si="50"/>
        <v>6395.2185840332877</v>
      </c>
      <c r="E341" s="15">
        <f t="shared" si="51"/>
        <v>1240.6129076461064</v>
      </c>
      <c r="F341" s="56">
        <f t="shared" si="52"/>
        <v>5154.6056763871811</v>
      </c>
      <c r="G341" s="56">
        <f t="shared" si="53"/>
        <v>345136.09765898396</v>
      </c>
      <c r="H341" s="3">
        <f t="shared" si="54"/>
        <v>5700</v>
      </c>
      <c r="I341" s="15">
        <f t="shared" si="55"/>
        <v>833.33333333333337</v>
      </c>
      <c r="J341" s="56">
        <f t="shared" si="56"/>
        <v>-1528.5519173666207</v>
      </c>
      <c r="K341" s="13">
        <f t="shared" si="57"/>
        <v>-458565.57520998735</v>
      </c>
    </row>
    <row r="342" spans="1:11" ht="22.05" customHeight="1" outlineLevel="1" x14ac:dyDescent="0.25">
      <c r="A342" s="55">
        <f t="shared" si="47"/>
        <v>301</v>
      </c>
      <c r="B342" s="55">
        <f t="shared" si="48"/>
        <v>26</v>
      </c>
      <c r="C342" s="56">
        <f t="shared" si="49"/>
        <v>345136.09765898396</v>
      </c>
      <c r="D342" s="56">
        <f t="shared" si="50"/>
        <v>6395.2185840332877</v>
      </c>
      <c r="E342" s="15">
        <f t="shared" si="51"/>
        <v>1222.357012542235</v>
      </c>
      <c r="F342" s="56">
        <f t="shared" si="52"/>
        <v>5172.8615714910529</v>
      </c>
      <c r="G342" s="56">
        <f t="shared" si="53"/>
        <v>339963.2360874929</v>
      </c>
      <c r="H342" s="3">
        <f t="shared" si="54"/>
        <v>5700</v>
      </c>
      <c r="I342" s="15">
        <f t="shared" si="55"/>
        <v>833.33333333333337</v>
      </c>
      <c r="J342" s="56">
        <f t="shared" si="56"/>
        <v>-1528.5519173666207</v>
      </c>
      <c r="K342" s="13">
        <f t="shared" si="57"/>
        <v>-460094.12712735398</v>
      </c>
    </row>
    <row r="343" spans="1:11" ht="22.05" customHeight="1" outlineLevel="1" x14ac:dyDescent="0.25">
      <c r="A343" s="55">
        <f t="shared" si="47"/>
        <v>302</v>
      </c>
      <c r="B343" s="55">
        <f t="shared" si="48"/>
        <v>26</v>
      </c>
      <c r="C343" s="56">
        <f t="shared" si="49"/>
        <v>339963.2360874929</v>
      </c>
      <c r="D343" s="56">
        <f t="shared" si="50"/>
        <v>6395.2185840332877</v>
      </c>
      <c r="E343" s="15">
        <f t="shared" si="51"/>
        <v>1204.0364611432042</v>
      </c>
      <c r="F343" s="56">
        <f t="shared" si="52"/>
        <v>5191.1821228900835</v>
      </c>
      <c r="G343" s="56">
        <f t="shared" si="53"/>
        <v>334772.05396460282</v>
      </c>
      <c r="H343" s="3">
        <f t="shared" si="54"/>
        <v>5700</v>
      </c>
      <c r="I343" s="15">
        <f t="shared" si="55"/>
        <v>833.33333333333337</v>
      </c>
      <c r="J343" s="56">
        <f t="shared" si="56"/>
        <v>-1528.5519173666207</v>
      </c>
      <c r="K343" s="13">
        <f t="shared" si="57"/>
        <v>-461622.6790447206</v>
      </c>
    </row>
    <row r="344" spans="1:11" ht="22.05" customHeight="1" outlineLevel="1" x14ac:dyDescent="0.25">
      <c r="A344" s="55">
        <f t="shared" si="47"/>
        <v>303</v>
      </c>
      <c r="B344" s="55">
        <f t="shared" si="48"/>
        <v>26</v>
      </c>
      <c r="C344" s="56">
        <f t="shared" si="49"/>
        <v>334772.05396460282</v>
      </c>
      <c r="D344" s="56">
        <f t="shared" si="50"/>
        <v>6395.2185840332877</v>
      </c>
      <c r="E344" s="15">
        <f t="shared" si="51"/>
        <v>1185.6510244579683</v>
      </c>
      <c r="F344" s="56">
        <f t="shared" si="52"/>
        <v>5209.5675595753191</v>
      </c>
      <c r="G344" s="56">
        <f t="shared" si="53"/>
        <v>329562.48640502751</v>
      </c>
      <c r="H344" s="3">
        <f t="shared" si="54"/>
        <v>5700</v>
      </c>
      <c r="I344" s="15">
        <f t="shared" si="55"/>
        <v>833.33333333333337</v>
      </c>
      <c r="J344" s="56">
        <f t="shared" si="56"/>
        <v>-1528.5519173666207</v>
      </c>
      <c r="K344" s="13">
        <f t="shared" si="57"/>
        <v>-463151.23096208723</v>
      </c>
    </row>
    <row r="345" spans="1:11" ht="22.05" customHeight="1" outlineLevel="1" x14ac:dyDescent="0.25">
      <c r="A345" s="55">
        <f t="shared" si="47"/>
        <v>304</v>
      </c>
      <c r="B345" s="55">
        <f t="shared" si="48"/>
        <v>26</v>
      </c>
      <c r="C345" s="56">
        <f t="shared" si="49"/>
        <v>329562.48640502751</v>
      </c>
      <c r="D345" s="56">
        <f t="shared" si="50"/>
        <v>6395.2185840332877</v>
      </c>
      <c r="E345" s="15">
        <f t="shared" si="51"/>
        <v>1167.2004726844725</v>
      </c>
      <c r="F345" s="56">
        <f t="shared" si="52"/>
        <v>5228.0181113488152</v>
      </c>
      <c r="G345" s="56">
        <f t="shared" si="53"/>
        <v>324334.46829367871</v>
      </c>
      <c r="H345" s="3">
        <f t="shared" si="54"/>
        <v>5700</v>
      </c>
      <c r="I345" s="15">
        <f t="shared" si="55"/>
        <v>833.33333333333337</v>
      </c>
      <c r="J345" s="56">
        <f t="shared" si="56"/>
        <v>-1528.5519173666207</v>
      </c>
      <c r="K345" s="13">
        <f t="shared" si="57"/>
        <v>-464679.78287945385</v>
      </c>
    </row>
    <row r="346" spans="1:11" ht="22.05" customHeight="1" outlineLevel="1" x14ac:dyDescent="0.25">
      <c r="A346" s="55">
        <f t="shared" si="47"/>
        <v>305</v>
      </c>
      <c r="B346" s="55">
        <f t="shared" si="48"/>
        <v>26</v>
      </c>
      <c r="C346" s="56">
        <f t="shared" si="49"/>
        <v>324334.46829367871</v>
      </c>
      <c r="D346" s="56">
        <f t="shared" si="50"/>
        <v>6395.2185840332877</v>
      </c>
      <c r="E346" s="15">
        <f t="shared" si="51"/>
        <v>1148.6845752067788</v>
      </c>
      <c r="F346" s="56">
        <f t="shared" si="52"/>
        <v>5246.5340088265093</v>
      </c>
      <c r="G346" s="56">
        <f t="shared" si="53"/>
        <v>319087.93428485218</v>
      </c>
      <c r="H346" s="3">
        <f t="shared" si="54"/>
        <v>5700</v>
      </c>
      <c r="I346" s="15">
        <f t="shared" si="55"/>
        <v>833.33333333333337</v>
      </c>
      <c r="J346" s="56">
        <f t="shared" si="56"/>
        <v>-1528.5519173666207</v>
      </c>
      <c r="K346" s="13">
        <f t="shared" si="57"/>
        <v>-466208.33479682048</v>
      </c>
    </row>
    <row r="347" spans="1:11" ht="22.05" customHeight="1" outlineLevel="1" x14ac:dyDescent="0.25">
      <c r="A347" s="55">
        <f t="shared" si="47"/>
        <v>306</v>
      </c>
      <c r="B347" s="55">
        <f t="shared" si="48"/>
        <v>26</v>
      </c>
      <c r="C347" s="56">
        <f t="shared" si="49"/>
        <v>319087.93428485218</v>
      </c>
      <c r="D347" s="56">
        <f t="shared" si="50"/>
        <v>6395.2185840332877</v>
      </c>
      <c r="E347" s="15">
        <f t="shared" si="51"/>
        <v>1130.1031005921848</v>
      </c>
      <c r="F347" s="56">
        <f t="shared" si="52"/>
        <v>5265.1154834411027</v>
      </c>
      <c r="G347" s="56">
        <f t="shared" si="53"/>
        <v>313822.81880141108</v>
      </c>
      <c r="H347" s="3">
        <f t="shared" si="54"/>
        <v>5700</v>
      </c>
      <c r="I347" s="15">
        <f t="shared" si="55"/>
        <v>833.33333333333337</v>
      </c>
      <c r="J347" s="56">
        <f t="shared" si="56"/>
        <v>-1528.5519173666207</v>
      </c>
      <c r="K347" s="13">
        <f t="shared" si="57"/>
        <v>-467736.8867141871</v>
      </c>
    </row>
    <row r="348" spans="1:11" ht="22.05" customHeight="1" outlineLevel="1" x14ac:dyDescent="0.25">
      <c r="A348" s="55">
        <f t="shared" si="47"/>
        <v>307</v>
      </c>
      <c r="B348" s="55">
        <f t="shared" si="48"/>
        <v>26</v>
      </c>
      <c r="C348" s="56">
        <f t="shared" si="49"/>
        <v>313822.81880141108</v>
      </c>
      <c r="D348" s="56">
        <f t="shared" si="50"/>
        <v>6395.2185840332877</v>
      </c>
      <c r="E348" s="15">
        <f t="shared" si="51"/>
        <v>1111.4558165883311</v>
      </c>
      <c r="F348" s="56">
        <f t="shared" si="52"/>
        <v>5283.7627674449568</v>
      </c>
      <c r="G348" s="56">
        <f t="shared" si="53"/>
        <v>308539.05603396613</v>
      </c>
      <c r="H348" s="3">
        <f t="shared" si="54"/>
        <v>5700</v>
      </c>
      <c r="I348" s="15">
        <f t="shared" si="55"/>
        <v>833.33333333333337</v>
      </c>
      <c r="J348" s="56">
        <f t="shared" si="56"/>
        <v>-1528.5519173666207</v>
      </c>
      <c r="K348" s="13">
        <f t="shared" si="57"/>
        <v>-469265.43863155373</v>
      </c>
    </row>
    <row r="349" spans="1:11" ht="22.05" customHeight="1" outlineLevel="1" x14ac:dyDescent="0.25">
      <c r="A349" s="55">
        <f t="shared" si="47"/>
        <v>308</v>
      </c>
      <c r="B349" s="55">
        <f t="shared" si="48"/>
        <v>26</v>
      </c>
      <c r="C349" s="56">
        <f t="shared" si="49"/>
        <v>308539.05603396613</v>
      </c>
      <c r="D349" s="56">
        <f t="shared" si="50"/>
        <v>6395.2185840332877</v>
      </c>
      <c r="E349" s="15">
        <f t="shared" si="51"/>
        <v>1092.7424901202969</v>
      </c>
      <c r="F349" s="56">
        <f t="shared" si="52"/>
        <v>5302.476093912991</v>
      </c>
      <c r="G349" s="56">
        <f t="shared" si="53"/>
        <v>303236.57994005317</v>
      </c>
      <c r="H349" s="3">
        <f t="shared" si="54"/>
        <v>5700</v>
      </c>
      <c r="I349" s="15">
        <f t="shared" si="55"/>
        <v>833.33333333333337</v>
      </c>
      <c r="J349" s="56">
        <f t="shared" si="56"/>
        <v>-1528.5519173666207</v>
      </c>
      <c r="K349" s="13">
        <f t="shared" si="57"/>
        <v>-470793.99054892035</v>
      </c>
    </row>
    <row r="350" spans="1:11" ht="22.05" customHeight="1" outlineLevel="1" x14ac:dyDescent="0.25">
      <c r="A350" s="55">
        <f t="shared" si="47"/>
        <v>309</v>
      </c>
      <c r="B350" s="55">
        <f t="shared" si="48"/>
        <v>26</v>
      </c>
      <c r="C350" s="56">
        <f t="shared" si="49"/>
        <v>303236.57994005317</v>
      </c>
      <c r="D350" s="56">
        <f t="shared" si="50"/>
        <v>6395.2185840332877</v>
      </c>
      <c r="E350" s="15">
        <f t="shared" si="51"/>
        <v>1073.9628872876883</v>
      </c>
      <c r="F350" s="56">
        <f t="shared" si="52"/>
        <v>5321.2556967455994</v>
      </c>
      <c r="G350" s="56">
        <f t="shared" si="53"/>
        <v>297915.32424330758</v>
      </c>
      <c r="H350" s="3">
        <f t="shared" si="54"/>
        <v>5700</v>
      </c>
      <c r="I350" s="15">
        <f t="shared" si="55"/>
        <v>833.33333333333337</v>
      </c>
      <c r="J350" s="56">
        <f t="shared" si="56"/>
        <v>-1528.5519173666207</v>
      </c>
      <c r="K350" s="13">
        <f t="shared" si="57"/>
        <v>-472322.54246628698</v>
      </c>
    </row>
    <row r="351" spans="1:11" ht="22.05" customHeight="1" outlineLevel="1" x14ac:dyDescent="0.25">
      <c r="A351" s="55">
        <f t="shared" si="47"/>
        <v>310</v>
      </c>
      <c r="B351" s="55">
        <f t="shared" si="48"/>
        <v>26</v>
      </c>
      <c r="C351" s="56">
        <f t="shared" si="49"/>
        <v>297915.32424330758</v>
      </c>
      <c r="D351" s="56">
        <f t="shared" si="50"/>
        <v>6395.2185840332877</v>
      </c>
      <c r="E351" s="15">
        <f t="shared" si="51"/>
        <v>1055.1167733617144</v>
      </c>
      <c r="F351" s="56">
        <f t="shared" si="52"/>
        <v>5340.1018106715728</v>
      </c>
      <c r="G351" s="56">
        <f t="shared" si="53"/>
        <v>292575.22243263602</v>
      </c>
      <c r="H351" s="3">
        <f t="shared" si="54"/>
        <v>5700</v>
      </c>
      <c r="I351" s="15">
        <f t="shared" si="55"/>
        <v>833.33333333333337</v>
      </c>
      <c r="J351" s="56">
        <f t="shared" si="56"/>
        <v>-1528.5519173666207</v>
      </c>
      <c r="K351" s="13">
        <f t="shared" si="57"/>
        <v>-473851.0943836536</v>
      </c>
    </row>
    <row r="352" spans="1:11" ht="22.05" customHeight="1" outlineLevel="1" x14ac:dyDescent="0.25">
      <c r="A352" s="55">
        <f t="shared" si="47"/>
        <v>311</v>
      </c>
      <c r="B352" s="55">
        <f t="shared" si="48"/>
        <v>26</v>
      </c>
      <c r="C352" s="56">
        <f t="shared" si="49"/>
        <v>292575.22243263602</v>
      </c>
      <c r="D352" s="56">
        <f t="shared" si="50"/>
        <v>6395.2185840332877</v>
      </c>
      <c r="E352" s="15">
        <f t="shared" si="51"/>
        <v>1036.2039127822527</v>
      </c>
      <c r="F352" s="56">
        <f t="shared" si="52"/>
        <v>5359.014671251035</v>
      </c>
      <c r="G352" s="56">
        <f t="shared" si="53"/>
        <v>287216.20776138495</v>
      </c>
      <c r="H352" s="3">
        <f t="shared" si="54"/>
        <v>5700</v>
      </c>
      <c r="I352" s="15">
        <f t="shared" si="55"/>
        <v>833.33333333333337</v>
      </c>
      <c r="J352" s="56">
        <f t="shared" si="56"/>
        <v>-1528.5519173666207</v>
      </c>
      <c r="K352" s="13">
        <f t="shared" si="57"/>
        <v>-475379.64630102023</v>
      </c>
    </row>
    <row r="353" spans="1:11" ht="22.05" customHeight="1" outlineLevel="1" x14ac:dyDescent="0.25">
      <c r="A353" s="55">
        <f t="shared" si="47"/>
        <v>312</v>
      </c>
      <c r="B353" s="55">
        <f t="shared" si="48"/>
        <v>26</v>
      </c>
      <c r="C353" s="56">
        <f t="shared" si="49"/>
        <v>287216.20776138495</v>
      </c>
      <c r="D353" s="56">
        <f t="shared" si="50"/>
        <v>6395.2185840332877</v>
      </c>
      <c r="E353" s="15">
        <f t="shared" si="51"/>
        <v>1017.2240691549051</v>
      </c>
      <c r="F353" s="56">
        <f t="shared" si="52"/>
        <v>5377.9945148783827</v>
      </c>
      <c r="G353" s="56">
        <f t="shared" si="53"/>
        <v>281838.21324650658</v>
      </c>
      <c r="H353" s="3">
        <f t="shared" si="54"/>
        <v>5700</v>
      </c>
      <c r="I353" s="15">
        <f t="shared" si="55"/>
        <v>833.33333333333337</v>
      </c>
      <c r="J353" s="56">
        <f t="shared" si="56"/>
        <v>-1528.5519173666207</v>
      </c>
      <c r="K353" s="13">
        <f t="shared" si="57"/>
        <v>-476908.19821838685</v>
      </c>
    </row>
    <row r="354" spans="1:11" ht="22.05" customHeight="1" outlineLevel="1" x14ac:dyDescent="0.25">
      <c r="A354" s="55">
        <f t="shared" si="47"/>
        <v>313</v>
      </c>
      <c r="B354" s="55">
        <f t="shared" si="48"/>
        <v>27</v>
      </c>
      <c r="C354" s="56">
        <f t="shared" si="49"/>
        <v>281838.21324650658</v>
      </c>
      <c r="D354" s="56">
        <f t="shared" si="50"/>
        <v>6395.2185840332877</v>
      </c>
      <c r="E354" s="15">
        <f t="shared" si="51"/>
        <v>998.17700524804422</v>
      </c>
      <c r="F354" s="56">
        <f t="shared" si="52"/>
        <v>5397.0415787852435</v>
      </c>
      <c r="G354" s="56">
        <f t="shared" si="53"/>
        <v>276441.17166772136</v>
      </c>
      <c r="H354" s="3">
        <f t="shared" si="54"/>
        <v>5700</v>
      </c>
      <c r="I354" s="15">
        <f t="shared" si="55"/>
        <v>833.33333333333337</v>
      </c>
      <c r="J354" s="56">
        <f t="shared" si="56"/>
        <v>-1528.5519173666207</v>
      </c>
      <c r="K354" s="13">
        <f t="shared" si="57"/>
        <v>-478436.75013575348</v>
      </c>
    </row>
    <row r="355" spans="1:11" ht="22.05" customHeight="1" outlineLevel="1" x14ac:dyDescent="0.25">
      <c r="A355" s="55">
        <f t="shared" si="47"/>
        <v>314</v>
      </c>
      <c r="B355" s="55">
        <f t="shared" si="48"/>
        <v>27</v>
      </c>
      <c r="C355" s="56">
        <f t="shared" si="49"/>
        <v>276441.17166772136</v>
      </c>
      <c r="D355" s="56">
        <f t="shared" si="50"/>
        <v>6395.2185840332877</v>
      </c>
      <c r="E355" s="15">
        <f t="shared" si="51"/>
        <v>979.06248298984656</v>
      </c>
      <c r="F355" s="56">
        <f t="shared" si="52"/>
        <v>5416.1561010434416</v>
      </c>
      <c r="G355" s="56">
        <f t="shared" si="53"/>
        <v>271025.0155666779</v>
      </c>
      <c r="H355" s="3">
        <f t="shared" si="54"/>
        <v>5700</v>
      </c>
      <c r="I355" s="15">
        <f t="shared" si="55"/>
        <v>833.33333333333337</v>
      </c>
      <c r="J355" s="56">
        <f t="shared" si="56"/>
        <v>-1528.5519173666207</v>
      </c>
      <c r="K355" s="13">
        <f t="shared" si="57"/>
        <v>-479965.3020531201</v>
      </c>
    </row>
    <row r="356" spans="1:11" ht="22.05" customHeight="1" outlineLevel="1" x14ac:dyDescent="0.25">
      <c r="A356" s="55">
        <f t="shared" si="47"/>
        <v>315</v>
      </c>
      <c r="B356" s="55">
        <f t="shared" si="48"/>
        <v>27</v>
      </c>
      <c r="C356" s="56">
        <f t="shared" si="49"/>
        <v>271025.0155666779</v>
      </c>
      <c r="D356" s="56">
        <f t="shared" si="50"/>
        <v>6395.2185840332877</v>
      </c>
      <c r="E356" s="15">
        <f t="shared" si="51"/>
        <v>959.88026346531763</v>
      </c>
      <c r="F356" s="56">
        <f t="shared" si="52"/>
        <v>5435.3383205679702</v>
      </c>
      <c r="G356" s="56">
        <f t="shared" si="53"/>
        <v>265589.67724610993</v>
      </c>
      <c r="H356" s="3">
        <f t="shared" si="54"/>
        <v>5700</v>
      </c>
      <c r="I356" s="15">
        <f t="shared" si="55"/>
        <v>833.33333333333337</v>
      </c>
      <c r="J356" s="56">
        <f t="shared" si="56"/>
        <v>-1528.5519173666207</v>
      </c>
      <c r="K356" s="13">
        <f t="shared" si="57"/>
        <v>-481493.85397048673</v>
      </c>
    </row>
    <row r="357" spans="1:11" ht="22.05" customHeight="1" outlineLevel="1" x14ac:dyDescent="0.25">
      <c r="A357" s="55">
        <f t="shared" si="47"/>
        <v>316</v>
      </c>
      <c r="B357" s="55">
        <f t="shared" si="48"/>
        <v>27</v>
      </c>
      <c r="C357" s="56">
        <f t="shared" si="49"/>
        <v>265589.67724610993</v>
      </c>
      <c r="D357" s="56">
        <f t="shared" si="50"/>
        <v>6395.2185840332877</v>
      </c>
      <c r="E357" s="15">
        <f t="shared" si="51"/>
        <v>940.63010691330601</v>
      </c>
      <c r="F357" s="56">
        <f t="shared" si="52"/>
        <v>5454.5884771199817</v>
      </c>
      <c r="G357" s="56">
        <f t="shared" si="53"/>
        <v>260135.08876898995</v>
      </c>
      <c r="H357" s="3">
        <f t="shared" si="54"/>
        <v>5700</v>
      </c>
      <c r="I357" s="15">
        <f t="shared" si="55"/>
        <v>833.33333333333337</v>
      </c>
      <c r="J357" s="56">
        <f t="shared" si="56"/>
        <v>-1528.5519173666207</v>
      </c>
      <c r="K357" s="13">
        <f t="shared" si="57"/>
        <v>-483022.40588785335</v>
      </c>
    </row>
    <row r="358" spans="1:11" ht="22.05" customHeight="1" outlineLevel="1" x14ac:dyDescent="0.25">
      <c r="A358" s="55">
        <f t="shared" si="47"/>
        <v>317</v>
      </c>
      <c r="B358" s="55">
        <f t="shared" si="48"/>
        <v>27</v>
      </c>
      <c r="C358" s="56">
        <f t="shared" si="49"/>
        <v>260135.08876898995</v>
      </c>
      <c r="D358" s="56">
        <f t="shared" si="50"/>
        <v>6395.2185840332877</v>
      </c>
      <c r="E358" s="15">
        <f t="shared" si="51"/>
        <v>921.31177272350612</v>
      </c>
      <c r="F358" s="56">
        <f t="shared" si="52"/>
        <v>5473.9068113097819</v>
      </c>
      <c r="G358" s="56">
        <f t="shared" si="53"/>
        <v>254661.18195768018</v>
      </c>
      <c r="H358" s="3">
        <f t="shared" si="54"/>
        <v>5700</v>
      </c>
      <c r="I358" s="15">
        <f t="shared" si="55"/>
        <v>833.33333333333337</v>
      </c>
      <c r="J358" s="56">
        <f t="shared" si="56"/>
        <v>-1528.5519173666207</v>
      </c>
      <c r="K358" s="13">
        <f t="shared" si="57"/>
        <v>-484550.95780521998</v>
      </c>
    </row>
    <row r="359" spans="1:11" ht="22.05" customHeight="1" outlineLevel="1" x14ac:dyDescent="0.25">
      <c r="A359" s="55">
        <f t="shared" si="47"/>
        <v>318</v>
      </c>
      <c r="B359" s="55">
        <f t="shared" si="48"/>
        <v>27</v>
      </c>
      <c r="C359" s="56">
        <f t="shared" si="49"/>
        <v>254661.18195768018</v>
      </c>
      <c r="D359" s="56">
        <f t="shared" si="50"/>
        <v>6395.2185840332877</v>
      </c>
      <c r="E359" s="15">
        <f t="shared" si="51"/>
        <v>901.92501943345076</v>
      </c>
      <c r="F359" s="56">
        <f t="shared" si="52"/>
        <v>5493.2935645998368</v>
      </c>
      <c r="G359" s="56">
        <f t="shared" si="53"/>
        <v>249167.88839308033</v>
      </c>
      <c r="H359" s="3">
        <f t="shared" si="54"/>
        <v>5700</v>
      </c>
      <c r="I359" s="15">
        <f t="shared" si="55"/>
        <v>833.33333333333337</v>
      </c>
      <c r="J359" s="56">
        <f t="shared" si="56"/>
        <v>-1528.5519173666207</v>
      </c>
      <c r="K359" s="13">
        <f t="shared" si="57"/>
        <v>-486079.5097225866</v>
      </c>
    </row>
    <row r="360" spans="1:11" ht="22.05" customHeight="1" outlineLevel="1" x14ac:dyDescent="0.25">
      <c r="A360" s="55">
        <f t="shared" si="47"/>
        <v>319</v>
      </c>
      <c r="B360" s="55">
        <f t="shared" si="48"/>
        <v>27</v>
      </c>
      <c r="C360" s="56">
        <f t="shared" si="49"/>
        <v>249167.88839308033</v>
      </c>
      <c r="D360" s="56">
        <f t="shared" si="50"/>
        <v>6395.2185840332877</v>
      </c>
      <c r="E360" s="15">
        <f t="shared" si="51"/>
        <v>882.4696047254929</v>
      </c>
      <c r="F360" s="56">
        <f t="shared" si="52"/>
        <v>5512.7489793077948</v>
      </c>
      <c r="G360" s="56">
        <f t="shared" si="53"/>
        <v>243655.13941377253</v>
      </c>
      <c r="H360" s="3">
        <f t="shared" si="54"/>
        <v>5700</v>
      </c>
      <c r="I360" s="15">
        <f t="shared" si="55"/>
        <v>833.33333333333337</v>
      </c>
      <c r="J360" s="56">
        <f t="shared" si="56"/>
        <v>-1528.5519173666207</v>
      </c>
      <c r="K360" s="13">
        <f t="shared" si="57"/>
        <v>-487608.06163995323</v>
      </c>
    </row>
    <row r="361" spans="1:11" ht="22.05" customHeight="1" outlineLevel="1" x14ac:dyDescent="0.25">
      <c r="A361" s="55">
        <f t="shared" si="47"/>
        <v>320</v>
      </c>
      <c r="B361" s="55">
        <f t="shared" si="48"/>
        <v>27</v>
      </c>
      <c r="C361" s="56">
        <f t="shared" si="49"/>
        <v>243655.13941377253</v>
      </c>
      <c r="D361" s="56">
        <f t="shared" si="50"/>
        <v>6395.2185840332877</v>
      </c>
      <c r="E361" s="15">
        <f t="shared" si="51"/>
        <v>862.94528542377782</v>
      </c>
      <c r="F361" s="56">
        <f t="shared" si="52"/>
        <v>5532.2732986095098</v>
      </c>
      <c r="G361" s="56">
        <f t="shared" si="53"/>
        <v>238122.86611516302</v>
      </c>
      <c r="H361" s="3">
        <f t="shared" si="54"/>
        <v>5700</v>
      </c>
      <c r="I361" s="15">
        <f t="shared" si="55"/>
        <v>833.33333333333337</v>
      </c>
      <c r="J361" s="56">
        <f t="shared" si="56"/>
        <v>-1528.5519173666207</v>
      </c>
      <c r="K361" s="13">
        <f t="shared" si="57"/>
        <v>-489136.61355731986</v>
      </c>
    </row>
    <row r="362" spans="1:11" ht="22.05" customHeight="1" outlineLevel="1" x14ac:dyDescent="0.25">
      <c r="A362" s="55">
        <f t="shared" si="47"/>
        <v>321</v>
      </c>
      <c r="B362" s="55">
        <f t="shared" si="48"/>
        <v>27</v>
      </c>
      <c r="C362" s="56">
        <f t="shared" si="49"/>
        <v>238122.86611516302</v>
      </c>
      <c r="D362" s="56">
        <f t="shared" si="50"/>
        <v>6395.2185840332877</v>
      </c>
      <c r="E362" s="15">
        <f t="shared" si="51"/>
        <v>843.35181749120238</v>
      </c>
      <c r="F362" s="56">
        <f t="shared" si="52"/>
        <v>5551.8667665420853</v>
      </c>
      <c r="G362" s="56">
        <f t="shared" si="53"/>
        <v>232570.99934862094</v>
      </c>
      <c r="H362" s="3">
        <f t="shared" si="54"/>
        <v>5700</v>
      </c>
      <c r="I362" s="15">
        <f t="shared" si="55"/>
        <v>833.33333333333337</v>
      </c>
      <c r="J362" s="56">
        <f t="shared" si="56"/>
        <v>-1528.5519173666207</v>
      </c>
      <c r="K362" s="13">
        <f t="shared" si="57"/>
        <v>-490665.16547468648</v>
      </c>
    </row>
    <row r="363" spans="1:11" ht="22.05" customHeight="1" outlineLevel="1" x14ac:dyDescent="0.25">
      <c r="A363" s="55">
        <f t="shared" si="47"/>
        <v>322</v>
      </c>
      <c r="B363" s="55">
        <f t="shared" si="48"/>
        <v>27</v>
      </c>
      <c r="C363" s="56">
        <f t="shared" si="49"/>
        <v>232570.99934862094</v>
      </c>
      <c r="D363" s="56">
        <f t="shared" si="50"/>
        <v>6395.2185840332877</v>
      </c>
      <c r="E363" s="15">
        <f t="shared" si="51"/>
        <v>823.68895602636587</v>
      </c>
      <c r="F363" s="56">
        <f t="shared" si="52"/>
        <v>5571.5296280069215</v>
      </c>
      <c r="G363" s="56">
        <f t="shared" si="53"/>
        <v>226999.46972061403</v>
      </c>
      <c r="H363" s="3">
        <f t="shared" si="54"/>
        <v>5700</v>
      </c>
      <c r="I363" s="15">
        <f t="shared" si="55"/>
        <v>833.33333333333337</v>
      </c>
      <c r="J363" s="56">
        <f t="shared" si="56"/>
        <v>-1528.5519173666207</v>
      </c>
      <c r="K363" s="13">
        <f t="shared" si="57"/>
        <v>-492193.71739205311</v>
      </c>
    </row>
    <row r="364" spans="1:11" ht="22.05" customHeight="1" outlineLevel="1" x14ac:dyDescent="0.25">
      <c r="A364" s="55">
        <f t="shared" ref="A364:A401" si="58">IF(A363&lt;360,A363+1,"")</f>
        <v>323</v>
      </c>
      <c r="B364" s="55">
        <f t="shared" ref="B364:B401" si="59">IF(A364="","",ROUNDUP(A364/12,0))</f>
        <v>27</v>
      </c>
      <c r="C364" s="56">
        <f t="shared" ref="C364:C401" si="60">IF(A364="","",G363)</f>
        <v>226999.46972061403</v>
      </c>
      <c r="D364" s="56">
        <f t="shared" ref="D364:D401" si="61">IF(A364="","",IF(AND(A364&lt;=$G$8*12,$G$6&gt;0,C364&gt;0.01),IF($G$9="שפיצר",IFERROR(-PMT($G$7/12,$G$8*12,$G$6),0),IF($G$9="קרן שוה",$G$6/($G$8*12)+C364*$G$7/12,IF($G$9="בלון מלא",IF(A364=$G$8*12,C364+C364*$G$7/12,0),IF($G$9="בלון חלקי",C364*$G$7/12+IF(A364=$G$8*12,C364,0),0)))),0))</f>
        <v>6395.2185840332877</v>
      </c>
      <c r="E364" s="15">
        <f t="shared" ref="E364:E401" si="62">IF(A364="","",IF(AND(A364&lt;=$G$8*12,C364&gt;0.01),C364*$G$7/12,0))</f>
        <v>803.95645526050805</v>
      </c>
      <c r="F364" s="56">
        <f t="shared" ref="F364:F401" si="63">IF(A364="","",D364-E364)</f>
        <v>5591.2621287727798</v>
      </c>
      <c r="G364" s="56">
        <f t="shared" ref="G364:G401" si="64">IF(A364="","",MAX(0,C364-F364))</f>
        <v>221408.20759184126</v>
      </c>
      <c r="H364" s="3">
        <f t="shared" ref="H364:H401" si="65">IF(A364="","",$P$6*(1+$P$9)^(B364-1)*(1-$P$12))</f>
        <v>5700</v>
      </c>
      <c r="I364" s="15">
        <f t="shared" ref="I364:I401" si="66">IF(A364="","",$P$20/12*(1+$P$10)^(B364-1)-$P$13/12*(1+$P$9)^(B364-1)+$P$13/12*(1+$P$10)^(B364-1))</f>
        <v>833.33333333333337</v>
      </c>
      <c r="J364" s="56">
        <f t="shared" ref="J364:J401" si="67">IF(A364="","",H364-I364-D364)</f>
        <v>-1528.5519173666207</v>
      </c>
      <c r="K364" s="13">
        <f t="shared" ref="K364:K401" si="68">IF(A364="","",K363+J364)</f>
        <v>-493722.26930941973</v>
      </c>
    </row>
    <row r="365" spans="1:11" ht="22.05" customHeight="1" outlineLevel="1" x14ac:dyDescent="0.25">
      <c r="A365" s="55">
        <f t="shared" si="58"/>
        <v>324</v>
      </c>
      <c r="B365" s="55">
        <f t="shared" si="59"/>
        <v>27</v>
      </c>
      <c r="C365" s="56">
        <f t="shared" si="60"/>
        <v>221408.20759184126</v>
      </c>
      <c r="D365" s="56">
        <f t="shared" si="61"/>
        <v>6395.2185840332877</v>
      </c>
      <c r="E365" s="15">
        <f t="shared" si="62"/>
        <v>784.1540685544378</v>
      </c>
      <c r="F365" s="56">
        <f t="shared" si="63"/>
        <v>5611.0645154788499</v>
      </c>
      <c r="G365" s="56">
        <f t="shared" si="64"/>
        <v>215797.14307636241</v>
      </c>
      <c r="H365" s="3">
        <f t="shared" si="65"/>
        <v>5700</v>
      </c>
      <c r="I365" s="15">
        <f t="shared" si="66"/>
        <v>833.33333333333337</v>
      </c>
      <c r="J365" s="56">
        <f t="shared" si="67"/>
        <v>-1528.5519173666207</v>
      </c>
      <c r="K365" s="13">
        <f t="shared" si="68"/>
        <v>-495250.82122678636</v>
      </c>
    </row>
    <row r="366" spans="1:11" ht="22.05" customHeight="1" outlineLevel="1" x14ac:dyDescent="0.25">
      <c r="A366" s="55">
        <f t="shared" si="58"/>
        <v>325</v>
      </c>
      <c r="B366" s="55">
        <f t="shared" si="59"/>
        <v>28</v>
      </c>
      <c r="C366" s="56">
        <f t="shared" si="60"/>
        <v>215797.14307636241</v>
      </c>
      <c r="D366" s="56">
        <f t="shared" si="61"/>
        <v>6395.2185840332877</v>
      </c>
      <c r="E366" s="15">
        <f t="shared" si="62"/>
        <v>764.28154839545016</v>
      </c>
      <c r="F366" s="56">
        <f t="shared" si="63"/>
        <v>5630.9370356378377</v>
      </c>
      <c r="G366" s="56">
        <f t="shared" si="64"/>
        <v>210166.20604072456</v>
      </c>
      <c r="H366" s="3">
        <f t="shared" si="65"/>
        <v>5700</v>
      </c>
      <c r="I366" s="15">
        <f t="shared" si="66"/>
        <v>833.33333333333337</v>
      </c>
      <c r="J366" s="56">
        <f t="shared" si="67"/>
        <v>-1528.5519173666207</v>
      </c>
      <c r="K366" s="13">
        <f t="shared" si="68"/>
        <v>-496779.37314415298</v>
      </c>
    </row>
    <row r="367" spans="1:11" ht="22.05" customHeight="1" outlineLevel="1" x14ac:dyDescent="0.25">
      <c r="A367" s="55">
        <f t="shared" si="58"/>
        <v>326</v>
      </c>
      <c r="B367" s="55">
        <f t="shared" si="59"/>
        <v>28</v>
      </c>
      <c r="C367" s="56">
        <f t="shared" si="60"/>
        <v>210166.20604072456</v>
      </c>
      <c r="D367" s="56">
        <f t="shared" si="61"/>
        <v>6395.2185840332877</v>
      </c>
      <c r="E367" s="15">
        <f t="shared" si="62"/>
        <v>744.33864639423291</v>
      </c>
      <c r="F367" s="56">
        <f t="shared" si="63"/>
        <v>5650.8799376390543</v>
      </c>
      <c r="G367" s="56">
        <f t="shared" si="64"/>
        <v>204515.32610308551</v>
      </c>
      <c r="H367" s="3">
        <f t="shared" si="65"/>
        <v>5700</v>
      </c>
      <c r="I367" s="15">
        <f t="shared" si="66"/>
        <v>833.33333333333337</v>
      </c>
      <c r="J367" s="56">
        <f t="shared" si="67"/>
        <v>-1528.5519173666207</v>
      </c>
      <c r="K367" s="13">
        <f t="shared" si="68"/>
        <v>-498307.92506151961</v>
      </c>
    </row>
    <row r="368" spans="1:11" ht="22.05" customHeight="1" outlineLevel="1" x14ac:dyDescent="0.25">
      <c r="A368" s="55">
        <f t="shared" si="58"/>
        <v>327</v>
      </c>
      <c r="B368" s="55">
        <f t="shared" si="59"/>
        <v>28</v>
      </c>
      <c r="C368" s="56">
        <f t="shared" si="60"/>
        <v>204515.32610308551</v>
      </c>
      <c r="D368" s="56">
        <f t="shared" si="61"/>
        <v>6395.2185840332877</v>
      </c>
      <c r="E368" s="15">
        <f t="shared" si="62"/>
        <v>724.32511328176122</v>
      </c>
      <c r="F368" s="56">
        <f t="shared" si="63"/>
        <v>5670.8934707515264</v>
      </c>
      <c r="G368" s="56">
        <f t="shared" si="64"/>
        <v>198844.43263233398</v>
      </c>
      <c r="H368" s="3">
        <f t="shared" si="65"/>
        <v>5700</v>
      </c>
      <c r="I368" s="15">
        <f t="shared" si="66"/>
        <v>833.33333333333337</v>
      </c>
      <c r="J368" s="56">
        <f t="shared" si="67"/>
        <v>-1528.5519173666207</v>
      </c>
      <c r="K368" s="13">
        <f t="shared" si="68"/>
        <v>-499836.47697888623</v>
      </c>
    </row>
    <row r="369" spans="1:11" ht="22.05" customHeight="1" outlineLevel="1" x14ac:dyDescent="0.25">
      <c r="A369" s="55">
        <f t="shared" si="58"/>
        <v>328</v>
      </c>
      <c r="B369" s="55">
        <f t="shared" si="59"/>
        <v>28</v>
      </c>
      <c r="C369" s="56">
        <f t="shared" si="60"/>
        <v>198844.43263233398</v>
      </c>
      <c r="D369" s="56">
        <f t="shared" si="61"/>
        <v>6395.2185840332877</v>
      </c>
      <c r="E369" s="15">
        <f t="shared" si="62"/>
        <v>704.24069890618284</v>
      </c>
      <c r="F369" s="56">
        <f t="shared" si="63"/>
        <v>5690.9778851271049</v>
      </c>
      <c r="G369" s="56">
        <f t="shared" si="64"/>
        <v>193153.45474720688</v>
      </c>
      <c r="H369" s="3">
        <f t="shared" si="65"/>
        <v>5700</v>
      </c>
      <c r="I369" s="15">
        <f t="shared" si="66"/>
        <v>833.33333333333337</v>
      </c>
      <c r="J369" s="56">
        <f t="shared" si="67"/>
        <v>-1528.5519173666207</v>
      </c>
      <c r="K369" s="13">
        <f t="shared" si="68"/>
        <v>-501365.02889625286</v>
      </c>
    </row>
    <row r="370" spans="1:11" ht="22.05" customHeight="1" outlineLevel="1" x14ac:dyDescent="0.25">
      <c r="A370" s="55">
        <f t="shared" si="58"/>
        <v>329</v>
      </c>
      <c r="B370" s="55">
        <f t="shared" si="59"/>
        <v>28</v>
      </c>
      <c r="C370" s="56">
        <f t="shared" si="60"/>
        <v>193153.45474720688</v>
      </c>
      <c r="D370" s="56">
        <f t="shared" si="61"/>
        <v>6395.2185840332877</v>
      </c>
      <c r="E370" s="15">
        <f t="shared" si="62"/>
        <v>684.08515222969106</v>
      </c>
      <c r="F370" s="56">
        <f t="shared" si="63"/>
        <v>5711.133431803597</v>
      </c>
      <c r="G370" s="56">
        <f t="shared" si="64"/>
        <v>187442.32131540327</v>
      </c>
      <c r="H370" s="3">
        <f t="shared" si="65"/>
        <v>5700</v>
      </c>
      <c r="I370" s="15">
        <f t="shared" si="66"/>
        <v>833.33333333333337</v>
      </c>
      <c r="J370" s="56">
        <f t="shared" si="67"/>
        <v>-1528.5519173666207</v>
      </c>
      <c r="K370" s="13">
        <f t="shared" si="68"/>
        <v>-502893.58081361948</v>
      </c>
    </row>
    <row r="371" spans="1:11" ht="22.05" customHeight="1" outlineLevel="1" x14ac:dyDescent="0.25">
      <c r="A371" s="55">
        <f t="shared" si="58"/>
        <v>330</v>
      </c>
      <c r="B371" s="55">
        <f t="shared" si="59"/>
        <v>28</v>
      </c>
      <c r="C371" s="56">
        <f t="shared" si="60"/>
        <v>187442.32131540327</v>
      </c>
      <c r="D371" s="56">
        <f t="shared" si="61"/>
        <v>6395.2185840332877</v>
      </c>
      <c r="E371" s="15">
        <f t="shared" si="62"/>
        <v>663.85822132538658</v>
      </c>
      <c r="F371" s="56">
        <f t="shared" si="63"/>
        <v>5731.360362707901</v>
      </c>
      <c r="G371" s="56">
        <f t="shared" si="64"/>
        <v>181710.96095269537</v>
      </c>
      <c r="H371" s="3">
        <f t="shared" si="65"/>
        <v>5700</v>
      </c>
      <c r="I371" s="15">
        <f t="shared" si="66"/>
        <v>833.33333333333337</v>
      </c>
      <c r="J371" s="56">
        <f t="shared" si="67"/>
        <v>-1528.5519173666207</v>
      </c>
      <c r="K371" s="13">
        <f t="shared" si="68"/>
        <v>-504422.13273098611</v>
      </c>
    </row>
    <row r="372" spans="1:11" ht="22.05" customHeight="1" outlineLevel="1" x14ac:dyDescent="0.25">
      <c r="A372" s="55">
        <f t="shared" si="58"/>
        <v>331</v>
      </c>
      <c r="B372" s="55">
        <f t="shared" si="59"/>
        <v>28</v>
      </c>
      <c r="C372" s="56">
        <f t="shared" si="60"/>
        <v>181710.96095269537</v>
      </c>
      <c r="D372" s="56">
        <f t="shared" si="61"/>
        <v>6395.2185840332877</v>
      </c>
      <c r="E372" s="15">
        <f t="shared" si="62"/>
        <v>643.55965337412943</v>
      </c>
      <c r="F372" s="56">
        <f t="shared" si="63"/>
        <v>5751.6589306591586</v>
      </c>
      <c r="G372" s="56">
        <f t="shared" si="64"/>
        <v>175959.30202203622</v>
      </c>
      <c r="H372" s="3">
        <f t="shared" si="65"/>
        <v>5700</v>
      </c>
      <c r="I372" s="15">
        <f t="shared" si="66"/>
        <v>833.33333333333337</v>
      </c>
      <c r="J372" s="56">
        <f t="shared" si="67"/>
        <v>-1528.5519173666207</v>
      </c>
      <c r="K372" s="13">
        <f t="shared" si="68"/>
        <v>-505950.68464835273</v>
      </c>
    </row>
    <row r="373" spans="1:11" ht="22.05" customHeight="1" outlineLevel="1" x14ac:dyDescent="0.25">
      <c r="A373" s="55">
        <f t="shared" si="58"/>
        <v>332</v>
      </c>
      <c r="B373" s="55">
        <f t="shared" si="59"/>
        <v>28</v>
      </c>
      <c r="C373" s="56">
        <f t="shared" si="60"/>
        <v>175959.30202203622</v>
      </c>
      <c r="D373" s="56">
        <f t="shared" si="61"/>
        <v>6395.2185840332877</v>
      </c>
      <c r="E373" s="15">
        <f t="shared" si="62"/>
        <v>623.18919466137834</v>
      </c>
      <c r="F373" s="56">
        <f t="shared" si="63"/>
        <v>5772.029389371909</v>
      </c>
      <c r="G373" s="56">
        <f t="shared" si="64"/>
        <v>170187.2726326643</v>
      </c>
      <c r="H373" s="3">
        <f t="shared" si="65"/>
        <v>5700</v>
      </c>
      <c r="I373" s="15">
        <f t="shared" si="66"/>
        <v>833.33333333333337</v>
      </c>
      <c r="J373" s="56">
        <f t="shared" si="67"/>
        <v>-1528.5519173666207</v>
      </c>
      <c r="K373" s="13">
        <f t="shared" si="68"/>
        <v>-507479.23656571936</v>
      </c>
    </row>
    <row r="374" spans="1:11" ht="22.05" customHeight="1" outlineLevel="1" x14ac:dyDescent="0.25">
      <c r="A374" s="55">
        <f t="shared" si="58"/>
        <v>333</v>
      </c>
      <c r="B374" s="55">
        <f t="shared" si="59"/>
        <v>28</v>
      </c>
      <c r="C374" s="56">
        <f t="shared" si="60"/>
        <v>170187.2726326643</v>
      </c>
      <c r="D374" s="56">
        <f t="shared" si="61"/>
        <v>6395.2185840332877</v>
      </c>
      <c r="E374" s="15">
        <f t="shared" si="62"/>
        <v>602.74659057401948</v>
      </c>
      <c r="F374" s="56">
        <f t="shared" si="63"/>
        <v>5792.4719934592686</v>
      </c>
      <c r="G374" s="56">
        <f t="shared" si="64"/>
        <v>164394.80063920503</v>
      </c>
      <c r="H374" s="3">
        <f t="shared" si="65"/>
        <v>5700</v>
      </c>
      <c r="I374" s="15">
        <f t="shared" si="66"/>
        <v>833.33333333333337</v>
      </c>
      <c r="J374" s="56">
        <f t="shared" si="67"/>
        <v>-1528.5519173666207</v>
      </c>
      <c r="K374" s="13">
        <f t="shared" si="68"/>
        <v>-509007.78848308598</v>
      </c>
    </row>
    <row r="375" spans="1:11" ht="22.05" customHeight="1" outlineLevel="1" x14ac:dyDescent="0.25">
      <c r="A375" s="55">
        <f t="shared" si="58"/>
        <v>334</v>
      </c>
      <c r="B375" s="55">
        <f t="shared" si="59"/>
        <v>28</v>
      </c>
      <c r="C375" s="56">
        <f t="shared" si="60"/>
        <v>164394.80063920503</v>
      </c>
      <c r="D375" s="56">
        <f t="shared" si="61"/>
        <v>6395.2185840332877</v>
      </c>
      <c r="E375" s="15">
        <f t="shared" si="62"/>
        <v>582.23158559718456</v>
      </c>
      <c r="F375" s="56">
        <f t="shared" si="63"/>
        <v>5812.986998436103</v>
      </c>
      <c r="G375" s="56">
        <f t="shared" si="64"/>
        <v>158581.81364076893</v>
      </c>
      <c r="H375" s="3">
        <f t="shared" si="65"/>
        <v>5700</v>
      </c>
      <c r="I375" s="15">
        <f t="shared" si="66"/>
        <v>833.33333333333337</v>
      </c>
      <c r="J375" s="56">
        <f t="shared" si="67"/>
        <v>-1528.5519173666207</v>
      </c>
      <c r="K375" s="13">
        <f t="shared" si="68"/>
        <v>-510536.34040045261</v>
      </c>
    </row>
    <row r="376" spans="1:11" ht="22.05" customHeight="1" outlineLevel="1" x14ac:dyDescent="0.25">
      <c r="A376" s="55">
        <f t="shared" si="58"/>
        <v>335</v>
      </c>
      <c r="B376" s="55">
        <f t="shared" si="59"/>
        <v>28</v>
      </c>
      <c r="C376" s="56">
        <f t="shared" si="60"/>
        <v>158581.81364076893</v>
      </c>
      <c r="D376" s="56">
        <f t="shared" si="61"/>
        <v>6395.2185840332877</v>
      </c>
      <c r="E376" s="15">
        <f t="shared" si="62"/>
        <v>561.64392331105671</v>
      </c>
      <c r="F376" s="56">
        <f t="shared" si="63"/>
        <v>5833.5746607222309</v>
      </c>
      <c r="G376" s="56">
        <f t="shared" si="64"/>
        <v>152748.23898004671</v>
      </c>
      <c r="H376" s="3">
        <f t="shared" si="65"/>
        <v>5700</v>
      </c>
      <c r="I376" s="15">
        <f t="shared" si="66"/>
        <v>833.33333333333337</v>
      </c>
      <c r="J376" s="56">
        <f t="shared" si="67"/>
        <v>-1528.5519173666207</v>
      </c>
      <c r="K376" s="13">
        <f t="shared" si="68"/>
        <v>-512064.89231781923</v>
      </c>
    </row>
    <row r="377" spans="1:11" ht="22.05" customHeight="1" outlineLevel="1" x14ac:dyDescent="0.25">
      <c r="A377" s="55">
        <f t="shared" si="58"/>
        <v>336</v>
      </c>
      <c r="B377" s="55">
        <f t="shared" si="59"/>
        <v>28</v>
      </c>
      <c r="C377" s="56">
        <f t="shared" si="60"/>
        <v>152748.23898004671</v>
      </c>
      <c r="D377" s="56">
        <f t="shared" si="61"/>
        <v>6395.2185840332877</v>
      </c>
      <c r="E377" s="15">
        <f t="shared" si="62"/>
        <v>540.98334638766539</v>
      </c>
      <c r="F377" s="56">
        <f t="shared" si="63"/>
        <v>5854.235237645622</v>
      </c>
      <c r="G377" s="56">
        <f t="shared" si="64"/>
        <v>146894.00374240108</v>
      </c>
      <c r="H377" s="3">
        <f t="shared" si="65"/>
        <v>5700</v>
      </c>
      <c r="I377" s="15">
        <f t="shared" si="66"/>
        <v>833.33333333333337</v>
      </c>
      <c r="J377" s="56">
        <f t="shared" si="67"/>
        <v>-1528.5519173666207</v>
      </c>
      <c r="K377" s="13">
        <f t="shared" si="68"/>
        <v>-513593.44423518586</v>
      </c>
    </row>
    <row r="378" spans="1:11" ht="22.05" customHeight="1" outlineLevel="1" x14ac:dyDescent="0.25">
      <c r="A378" s="55">
        <f t="shared" si="58"/>
        <v>337</v>
      </c>
      <c r="B378" s="55">
        <f t="shared" si="59"/>
        <v>29</v>
      </c>
      <c r="C378" s="56">
        <f t="shared" si="60"/>
        <v>146894.00374240108</v>
      </c>
      <c r="D378" s="56">
        <f t="shared" si="61"/>
        <v>6395.2185840332877</v>
      </c>
      <c r="E378" s="15">
        <f t="shared" si="62"/>
        <v>520.24959658767057</v>
      </c>
      <c r="F378" s="56">
        <f t="shared" si="63"/>
        <v>5874.9689874456171</v>
      </c>
      <c r="G378" s="56">
        <f t="shared" si="64"/>
        <v>141019.03475495547</v>
      </c>
      <c r="H378" s="3">
        <f t="shared" si="65"/>
        <v>5700</v>
      </c>
      <c r="I378" s="15">
        <f t="shared" si="66"/>
        <v>833.33333333333337</v>
      </c>
      <c r="J378" s="56">
        <f t="shared" si="67"/>
        <v>-1528.5519173666207</v>
      </c>
      <c r="K378" s="13">
        <f t="shared" si="68"/>
        <v>-515121.99615255249</v>
      </c>
    </row>
    <row r="379" spans="1:11" ht="22.05" customHeight="1" outlineLevel="1" x14ac:dyDescent="0.25">
      <c r="A379" s="55">
        <f t="shared" si="58"/>
        <v>338</v>
      </c>
      <c r="B379" s="55">
        <f t="shared" si="59"/>
        <v>29</v>
      </c>
      <c r="C379" s="56">
        <f t="shared" si="60"/>
        <v>141019.03475495547</v>
      </c>
      <c r="D379" s="56">
        <f t="shared" si="61"/>
        <v>6395.2185840332877</v>
      </c>
      <c r="E379" s="15">
        <f t="shared" si="62"/>
        <v>499.44241475713397</v>
      </c>
      <c r="F379" s="56">
        <f t="shared" si="63"/>
        <v>5895.7761692761542</v>
      </c>
      <c r="G379" s="56">
        <f t="shared" si="64"/>
        <v>135123.25858567932</v>
      </c>
      <c r="H379" s="3">
        <f t="shared" si="65"/>
        <v>5700</v>
      </c>
      <c r="I379" s="15">
        <f t="shared" si="66"/>
        <v>833.33333333333337</v>
      </c>
      <c r="J379" s="56">
        <f t="shared" si="67"/>
        <v>-1528.5519173666207</v>
      </c>
      <c r="K379" s="13">
        <f t="shared" si="68"/>
        <v>-516650.54806991911</v>
      </c>
    </row>
    <row r="380" spans="1:11" ht="22.05" customHeight="1" outlineLevel="1" x14ac:dyDescent="0.25">
      <c r="A380" s="55">
        <f t="shared" si="58"/>
        <v>339</v>
      </c>
      <c r="B380" s="55">
        <f t="shared" si="59"/>
        <v>29</v>
      </c>
      <c r="C380" s="56">
        <f t="shared" si="60"/>
        <v>135123.25858567932</v>
      </c>
      <c r="D380" s="56">
        <f t="shared" si="61"/>
        <v>6395.2185840332877</v>
      </c>
      <c r="E380" s="15">
        <f t="shared" si="62"/>
        <v>478.56154082428094</v>
      </c>
      <c r="F380" s="56">
        <f t="shared" si="63"/>
        <v>5916.6570432090066</v>
      </c>
      <c r="G380" s="56">
        <f t="shared" si="64"/>
        <v>129206.60154247031</v>
      </c>
      <c r="H380" s="3">
        <f t="shared" si="65"/>
        <v>5700</v>
      </c>
      <c r="I380" s="15">
        <f t="shared" si="66"/>
        <v>833.33333333333337</v>
      </c>
      <c r="J380" s="56">
        <f t="shared" si="67"/>
        <v>-1528.5519173666207</v>
      </c>
      <c r="K380" s="13">
        <f t="shared" si="68"/>
        <v>-518179.09998728574</v>
      </c>
    </row>
    <row r="381" spans="1:11" ht="22.05" customHeight="1" outlineLevel="1" x14ac:dyDescent="0.25">
      <c r="A381" s="55">
        <f t="shared" si="58"/>
        <v>340</v>
      </c>
      <c r="B381" s="55">
        <f t="shared" si="59"/>
        <v>29</v>
      </c>
      <c r="C381" s="56">
        <f t="shared" si="60"/>
        <v>129206.60154247031</v>
      </c>
      <c r="D381" s="56">
        <f t="shared" si="61"/>
        <v>6395.2185840332877</v>
      </c>
      <c r="E381" s="15">
        <f t="shared" si="62"/>
        <v>457.60671379624904</v>
      </c>
      <c r="F381" s="56">
        <f t="shared" si="63"/>
        <v>5937.6118702370386</v>
      </c>
      <c r="G381" s="56">
        <f t="shared" si="64"/>
        <v>123268.98967223326</v>
      </c>
      <c r="H381" s="3">
        <f t="shared" si="65"/>
        <v>5700</v>
      </c>
      <c r="I381" s="15">
        <f t="shared" si="66"/>
        <v>833.33333333333337</v>
      </c>
      <c r="J381" s="56">
        <f t="shared" si="67"/>
        <v>-1528.5519173666207</v>
      </c>
      <c r="K381" s="13">
        <f t="shared" si="68"/>
        <v>-519707.65190465236</v>
      </c>
    </row>
    <row r="382" spans="1:11" ht="22.05" customHeight="1" outlineLevel="1" x14ac:dyDescent="0.25">
      <c r="A382" s="55">
        <f t="shared" si="58"/>
        <v>341</v>
      </c>
      <c r="B382" s="55">
        <f t="shared" si="59"/>
        <v>29</v>
      </c>
      <c r="C382" s="56">
        <f t="shared" si="60"/>
        <v>123268.98967223326</v>
      </c>
      <c r="D382" s="56">
        <f t="shared" si="61"/>
        <v>6395.2185840332877</v>
      </c>
      <c r="E382" s="15">
        <f t="shared" si="62"/>
        <v>436.5776717558262</v>
      </c>
      <c r="F382" s="56">
        <f t="shared" si="63"/>
        <v>5958.6409122774612</v>
      </c>
      <c r="G382" s="56">
        <f t="shared" si="64"/>
        <v>117310.3487599558</v>
      </c>
      <c r="H382" s="3">
        <f t="shared" si="65"/>
        <v>5700</v>
      </c>
      <c r="I382" s="15">
        <f t="shared" si="66"/>
        <v>833.33333333333337</v>
      </c>
      <c r="J382" s="56">
        <f t="shared" si="67"/>
        <v>-1528.5519173666207</v>
      </c>
      <c r="K382" s="13">
        <f t="shared" si="68"/>
        <v>-521236.20382201899</v>
      </c>
    </row>
    <row r="383" spans="1:11" ht="22.05" customHeight="1" outlineLevel="1" x14ac:dyDescent="0.25">
      <c r="A383" s="55">
        <f t="shared" si="58"/>
        <v>342</v>
      </c>
      <c r="B383" s="55">
        <f t="shared" si="59"/>
        <v>29</v>
      </c>
      <c r="C383" s="56">
        <f t="shared" si="60"/>
        <v>117310.3487599558</v>
      </c>
      <c r="D383" s="56">
        <f t="shared" si="61"/>
        <v>6395.2185840332877</v>
      </c>
      <c r="E383" s="15">
        <f t="shared" si="62"/>
        <v>415.47415185817681</v>
      </c>
      <c r="F383" s="56">
        <f t="shared" si="63"/>
        <v>5979.7444321751109</v>
      </c>
      <c r="G383" s="56">
        <f t="shared" si="64"/>
        <v>111330.60432778069</v>
      </c>
      <c r="H383" s="3">
        <f t="shared" si="65"/>
        <v>5700</v>
      </c>
      <c r="I383" s="15">
        <f t="shared" si="66"/>
        <v>833.33333333333337</v>
      </c>
      <c r="J383" s="56">
        <f t="shared" si="67"/>
        <v>-1528.5519173666207</v>
      </c>
      <c r="K383" s="13">
        <f t="shared" si="68"/>
        <v>-522764.75573938561</v>
      </c>
    </row>
    <row r="384" spans="1:11" ht="22.05" customHeight="1" outlineLevel="1" x14ac:dyDescent="0.25">
      <c r="A384" s="55">
        <f t="shared" si="58"/>
        <v>343</v>
      </c>
      <c r="B384" s="55">
        <f t="shared" si="59"/>
        <v>29</v>
      </c>
      <c r="C384" s="56">
        <f t="shared" si="60"/>
        <v>111330.60432778069</v>
      </c>
      <c r="D384" s="56">
        <f t="shared" si="61"/>
        <v>6395.2185840332877</v>
      </c>
      <c r="E384" s="15">
        <f t="shared" si="62"/>
        <v>394.29589032755666</v>
      </c>
      <c r="F384" s="56">
        <f t="shared" si="63"/>
        <v>6000.922693705731</v>
      </c>
      <c r="G384" s="56">
        <f t="shared" si="64"/>
        <v>105329.68163407496</v>
      </c>
      <c r="H384" s="3">
        <f t="shared" si="65"/>
        <v>5700</v>
      </c>
      <c r="I384" s="15">
        <f t="shared" si="66"/>
        <v>833.33333333333337</v>
      </c>
      <c r="J384" s="56">
        <f t="shared" si="67"/>
        <v>-1528.5519173666207</v>
      </c>
      <c r="K384" s="13">
        <f t="shared" si="68"/>
        <v>-524293.30765675218</v>
      </c>
    </row>
    <row r="385" spans="1:11" ht="22.05" customHeight="1" outlineLevel="1" x14ac:dyDescent="0.25">
      <c r="A385" s="55">
        <f t="shared" si="58"/>
        <v>344</v>
      </c>
      <c r="B385" s="55">
        <f t="shared" si="59"/>
        <v>29</v>
      </c>
      <c r="C385" s="56">
        <f t="shared" si="60"/>
        <v>105329.68163407496</v>
      </c>
      <c r="D385" s="56">
        <f t="shared" si="61"/>
        <v>6395.2185840332877</v>
      </c>
      <c r="E385" s="15">
        <f t="shared" si="62"/>
        <v>373.04262245401554</v>
      </c>
      <c r="F385" s="56">
        <f t="shared" si="63"/>
        <v>6022.1759615792726</v>
      </c>
      <c r="G385" s="56">
        <f t="shared" si="64"/>
        <v>99307.505672495696</v>
      </c>
      <c r="H385" s="3">
        <f t="shared" si="65"/>
        <v>5700</v>
      </c>
      <c r="I385" s="15">
        <f t="shared" si="66"/>
        <v>833.33333333333337</v>
      </c>
      <c r="J385" s="56">
        <f t="shared" si="67"/>
        <v>-1528.5519173666207</v>
      </c>
      <c r="K385" s="13">
        <f t="shared" si="68"/>
        <v>-525821.85957411875</v>
      </c>
    </row>
    <row r="386" spans="1:11" ht="22.05" customHeight="1" outlineLevel="1" x14ac:dyDescent="0.25">
      <c r="A386" s="55">
        <f t="shared" si="58"/>
        <v>345</v>
      </c>
      <c r="B386" s="55">
        <f t="shared" si="59"/>
        <v>29</v>
      </c>
      <c r="C386" s="56">
        <f t="shared" si="60"/>
        <v>99307.505672495696</v>
      </c>
      <c r="D386" s="56">
        <f t="shared" si="61"/>
        <v>6395.2185840332877</v>
      </c>
      <c r="E386" s="15">
        <f t="shared" si="62"/>
        <v>351.71408259008894</v>
      </c>
      <c r="F386" s="56">
        <f t="shared" si="63"/>
        <v>6043.5045014431989</v>
      </c>
      <c r="G386" s="56">
        <f t="shared" si="64"/>
        <v>93264.0011710525</v>
      </c>
      <c r="H386" s="3">
        <f t="shared" si="65"/>
        <v>5700</v>
      </c>
      <c r="I386" s="15">
        <f t="shared" si="66"/>
        <v>833.33333333333337</v>
      </c>
      <c r="J386" s="56">
        <f t="shared" si="67"/>
        <v>-1528.5519173666207</v>
      </c>
      <c r="K386" s="13">
        <f t="shared" si="68"/>
        <v>-527350.41149148531</v>
      </c>
    </row>
    <row r="387" spans="1:11" ht="22.05" customHeight="1" outlineLevel="1" x14ac:dyDescent="0.25">
      <c r="A387" s="55">
        <f t="shared" si="58"/>
        <v>346</v>
      </c>
      <c r="B387" s="55">
        <f t="shared" si="59"/>
        <v>29</v>
      </c>
      <c r="C387" s="56">
        <f t="shared" si="60"/>
        <v>93264.0011710525</v>
      </c>
      <c r="D387" s="56">
        <f t="shared" si="61"/>
        <v>6395.2185840332877</v>
      </c>
      <c r="E387" s="15">
        <f t="shared" si="62"/>
        <v>330.31000414747763</v>
      </c>
      <c r="F387" s="56">
        <f t="shared" si="63"/>
        <v>6064.9085798858105</v>
      </c>
      <c r="G387" s="56">
        <f t="shared" si="64"/>
        <v>87199.092591166685</v>
      </c>
      <c r="H387" s="3">
        <f t="shared" si="65"/>
        <v>5700</v>
      </c>
      <c r="I387" s="15">
        <f t="shared" si="66"/>
        <v>833.33333333333337</v>
      </c>
      <c r="J387" s="56">
        <f t="shared" si="67"/>
        <v>-1528.5519173666207</v>
      </c>
      <c r="K387" s="13">
        <f t="shared" si="68"/>
        <v>-528878.96340885188</v>
      </c>
    </row>
    <row r="388" spans="1:11" ht="22.05" customHeight="1" outlineLevel="1" x14ac:dyDescent="0.25">
      <c r="A388" s="55">
        <f t="shared" si="58"/>
        <v>347</v>
      </c>
      <c r="B388" s="55">
        <f t="shared" si="59"/>
        <v>29</v>
      </c>
      <c r="C388" s="56">
        <f t="shared" si="60"/>
        <v>87199.092591166685</v>
      </c>
      <c r="D388" s="56">
        <f t="shared" si="61"/>
        <v>6395.2185840332877</v>
      </c>
      <c r="E388" s="15">
        <f t="shared" si="62"/>
        <v>308.83011959371538</v>
      </c>
      <c r="F388" s="56">
        <f t="shared" si="63"/>
        <v>6086.3884644395721</v>
      </c>
      <c r="G388" s="56">
        <f t="shared" si="64"/>
        <v>81112.704126727112</v>
      </c>
      <c r="H388" s="3">
        <f t="shared" si="65"/>
        <v>5700</v>
      </c>
      <c r="I388" s="15">
        <f t="shared" si="66"/>
        <v>833.33333333333337</v>
      </c>
      <c r="J388" s="56">
        <f t="shared" si="67"/>
        <v>-1528.5519173666207</v>
      </c>
      <c r="K388" s="13">
        <f t="shared" si="68"/>
        <v>-530407.51532621845</v>
      </c>
    </row>
    <row r="389" spans="1:11" ht="22.05" customHeight="1" outlineLevel="1" x14ac:dyDescent="0.25">
      <c r="A389" s="55">
        <f t="shared" si="58"/>
        <v>348</v>
      </c>
      <c r="B389" s="55">
        <f t="shared" si="59"/>
        <v>29</v>
      </c>
      <c r="C389" s="56">
        <f t="shared" si="60"/>
        <v>81112.704126727112</v>
      </c>
      <c r="D389" s="56">
        <f t="shared" si="61"/>
        <v>6395.2185840332877</v>
      </c>
      <c r="E389" s="15">
        <f t="shared" si="62"/>
        <v>287.27416044882523</v>
      </c>
      <c r="F389" s="56">
        <f t="shared" si="63"/>
        <v>6107.9444235844621</v>
      </c>
      <c r="G389" s="56">
        <f t="shared" si="64"/>
        <v>75004.759703142656</v>
      </c>
      <c r="H389" s="3">
        <f t="shared" si="65"/>
        <v>5700</v>
      </c>
      <c r="I389" s="15">
        <f t="shared" si="66"/>
        <v>833.33333333333337</v>
      </c>
      <c r="J389" s="56">
        <f t="shared" si="67"/>
        <v>-1528.5519173666207</v>
      </c>
      <c r="K389" s="13">
        <f t="shared" si="68"/>
        <v>-531936.06724358501</v>
      </c>
    </row>
    <row r="390" spans="1:11" ht="22.05" customHeight="1" outlineLevel="1" x14ac:dyDescent="0.25">
      <c r="A390" s="55">
        <f t="shared" si="58"/>
        <v>349</v>
      </c>
      <c r="B390" s="55">
        <f t="shared" si="59"/>
        <v>30</v>
      </c>
      <c r="C390" s="56">
        <f t="shared" si="60"/>
        <v>75004.759703142656</v>
      </c>
      <c r="D390" s="56">
        <f t="shared" si="61"/>
        <v>6395.2185840332877</v>
      </c>
      <c r="E390" s="15">
        <f t="shared" si="62"/>
        <v>265.64185728196361</v>
      </c>
      <c r="F390" s="56">
        <f t="shared" si="63"/>
        <v>6129.5767267513238</v>
      </c>
      <c r="G390" s="56">
        <f t="shared" si="64"/>
        <v>68875.182976391327</v>
      </c>
      <c r="H390" s="3">
        <f t="shared" si="65"/>
        <v>5700</v>
      </c>
      <c r="I390" s="15">
        <f t="shared" si="66"/>
        <v>833.33333333333337</v>
      </c>
      <c r="J390" s="56">
        <f t="shared" si="67"/>
        <v>-1528.5519173666207</v>
      </c>
      <c r="K390" s="13">
        <f t="shared" si="68"/>
        <v>-533464.61916095158</v>
      </c>
    </row>
    <row r="391" spans="1:11" ht="22.05" customHeight="1" outlineLevel="1" x14ac:dyDescent="0.25">
      <c r="A391" s="55">
        <f t="shared" si="58"/>
        <v>350</v>
      </c>
      <c r="B391" s="55">
        <f t="shared" si="59"/>
        <v>30</v>
      </c>
      <c r="C391" s="56">
        <f t="shared" si="60"/>
        <v>68875.182976391327</v>
      </c>
      <c r="D391" s="56">
        <f t="shared" si="61"/>
        <v>6395.2185840332877</v>
      </c>
      <c r="E391" s="15">
        <f t="shared" si="62"/>
        <v>243.93293970805266</v>
      </c>
      <c r="F391" s="56">
        <f t="shared" si="63"/>
        <v>6151.2856443252349</v>
      </c>
      <c r="G391" s="56">
        <f t="shared" si="64"/>
        <v>62723.897332066088</v>
      </c>
      <c r="H391" s="3">
        <f t="shared" si="65"/>
        <v>5700</v>
      </c>
      <c r="I391" s="15">
        <f t="shared" si="66"/>
        <v>833.33333333333337</v>
      </c>
      <c r="J391" s="56">
        <f t="shared" si="67"/>
        <v>-1528.5519173666207</v>
      </c>
      <c r="K391" s="13">
        <f t="shared" si="68"/>
        <v>-534993.17107831815</v>
      </c>
    </row>
    <row r="392" spans="1:11" ht="22.05" customHeight="1" outlineLevel="1" x14ac:dyDescent="0.25">
      <c r="A392" s="55">
        <f t="shared" si="58"/>
        <v>351</v>
      </c>
      <c r="B392" s="55">
        <f t="shared" si="59"/>
        <v>30</v>
      </c>
      <c r="C392" s="56">
        <f t="shared" si="60"/>
        <v>62723.897332066088</v>
      </c>
      <c r="D392" s="56">
        <f t="shared" si="61"/>
        <v>6395.2185840332877</v>
      </c>
      <c r="E392" s="15">
        <f t="shared" si="62"/>
        <v>222.14713638440074</v>
      </c>
      <c r="F392" s="56">
        <f t="shared" si="63"/>
        <v>6173.0714476488865</v>
      </c>
      <c r="G392" s="56">
        <f t="shared" si="64"/>
        <v>56550.825884417201</v>
      </c>
      <c r="H392" s="3">
        <f t="shared" si="65"/>
        <v>5700</v>
      </c>
      <c r="I392" s="15">
        <f t="shared" si="66"/>
        <v>833.33333333333337</v>
      </c>
      <c r="J392" s="56">
        <f t="shared" si="67"/>
        <v>-1528.5519173666207</v>
      </c>
      <c r="K392" s="13">
        <f t="shared" si="68"/>
        <v>-536521.72299568471</v>
      </c>
    </row>
    <row r="393" spans="1:11" ht="22.05" customHeight="1" outlineLevel="1" x14ac:dyDescent="0.25">
      <c r="A393" s="55">
        <f t="shared" si="58"/>
        <v>352</v>
      </c>
      <c r="B393" s="55">
        <f t="shared" si="59"/>
        <v>30</v>
      </c>
      <c r="C393" s="56">
        <f t="shared" si="60"/>
        <v>56550.825884417201</v>
      </c>
      <c r="D393" s="56">
        <f t="shared" si="61"/>
        <v>6395.2185840332877</v>
      </c>
      <c r="E393" s="15">
        <f t="shared" si="62"/>
        <v>200.28417500731095</v>
      </c>
      <c r="F393" s="56">
        <f t="shared" si="63"/>
        <v>6194.9344090259765</v>
      </c>
      <c r="G393" s="56">
        <f t="shared" si="64"/>
        <v>50355.891475391225</v>
      </c>
      <c r="H393" s="3">
        <f t="shared" si="65"/>
        <v>5700</v>
      </c>
      <c r="I393" s="15">
        <f t="shared" si="66"/>
        <v>833.33333333333337</v>
      </c>
      <c r="J393" s="56">
        <f t="shared" si="67"/>
        <v>-1528.5519173666207</v>
      </c>
      <c r="K393" s="13">
        <f t="shared" si="68"/>
        <v>-538050.27491305128</v>
      </c>
    </row>
    <row r="394" spans="1:11" ht="22.05" customHeight="1" outlineLevel="1" x14ac:dyDescent="0.25">
      <c r="A394" s="55">
        <f t="shared" si="58"/>
        <v>353</v>
      </c>
      <c r="B394" s="55">
        <f t="shared" si="59"/>
        <v>30</v>
      </c>
      <c r="C394" s="56">
        <f t="shared" si="60"/>
        <v>50355.891475391225</v>
      </c>
      <c r="D394" s="56">
        <f t="shared" si="61"/>
        <v>6395.2185840332877</v>
      </c>
      <c r="E394" s="15">
        <f t="shared" si="62"/>
        <v>178.34378230867728</v>
      </c>
      <c r="F394" s="56">
        <f t="shared" si="63"/>
        <v>6216.8748017246107</v>
      </c>
      <c r="G394" s="56">
        <f t="shared" si="64"/>
        <v>44139.016673666614</v>
      </c>
      <c r="H394" s="3">
        <f t="shared" si="65"/>
        <v>5700</v>
      </c>
      <c r="I394" s="15">
        <f t="shared" si="66"/>
        <v>833.33333333333337</v>
      </c>
      <c r="J394" s="56">
        <f t="shared" si="67"/>
        <v>-1528.5519173666207</v>
      </c>
      <c r="K394" s="13">
        <f t="shared" si="68"/>
        <v>-539578.82683041785</v>
      </c>
    </row>
    <row r="395" spans="1:11" ht="22.05" customHeight="1" outlineLevel="1" x14ac:dyDescent="0.25">
      <c r="A395" s="55">
        <f t="shared" si="58"/>
        <v>354</v>
      </c>
      <c r="B395" s="55">
        <f t="shared" si="59"/>
        <v>30</v>
      </c>
      <c r="C395" s="56">
        <f t="shared" si="60"/>
        <v>44139.016673666614</v>
      </c>
      <c r="D395" s="56">
        <f t="shared" si="61"/>
        <v>6395.2185840332877</v>
      </c>
      <c r="E395" s="15">
        <f t="shared" si="62"/>
        <v>156.32568405256927</v>
      </c>
      <c r="F395" s="56">
        <f t="shared" si="63"/>
        <v>6238.8928999807185</v>
      </c>
      <c r="G395" s="56">
        <f t="shared" si="64"/>
        <v>37900.123773685897</v>
      </c>
      <c r="H395" s="3">
        <f t="shared" si="65"/>
        <v>5700</v>
      </c>
      <c r="I395" s="15">
        <f t="shared" si="66"/>
        <v>833.33333333333337</v>
      </c>
      <c r="J395" s="56">
        <f t="shared" si="67"/>
        <v>-1528.5519173666207</v>
      </c>
      <c r="K395" s="13">
        <f t="shared" si="68"/>
        <v>-541107.37874778442</v>
      </c>
    </row>
    <row r="396" spans="1:11" ht="22.05" customHeight="1" outlineLevel="1" x14ac:dyDescent="0.25">
      <c r="A396" s="55">
        <f t="shared" si="58"/>
        <v>355</v>
      </c>
      <c r="B396" s="55">
        <f t="shared" si="59"/>
        <v>30</v>
      </c>
      <c r="C396" s="56">
        <f t="shared" si="60"/>
        <v>37900.123773685897</v>
      </c>
      <c r="D396" s="56">
        <f t="shared" si="61"/>
        <v>6395.2185840332877</v>
      </c>
      <c r="E396" s="15">
        <f t="shared" si="62"/>
        <v>134.22960503180423</v>
      </c>
      <c r="F396" s="56">
        <f t="shared" si="63"/>
        <v>6260.9889790014831</v>
      </c>
      <c r="G396" s="56">
        <f t="shared" si="64"/>
        <v>31639.134794684414</v>
      </c>
      <c r="H396" s="3">
        <f t="shared" si="65"/>
        <v>5700</v>
      </c>
      <c r="I396" s="15">
        <f t="shared" si="66"/>
        <v>833.33333333333337</v>
      </c>
      <c r="J396" s="56">
        <f t="shared" si="67"/>
        <v>-1528.5519173666207</v>
      </c>
      <c r="K396" s="13">
        <f t="shared" si="68"/>
        <v>-542635.93066515098</v>
      </c>
    </row>
    <row r="397" spans="1:11" ht="22.05" customHeight="1" outlineLevel="1" x14ac:dyDescent="0.25">
      <c r="A397" s="55">
        <f t="shared" si="58"/>
        <v>356</v>
      </c>
      <c r="B397" s="55">
        <f t="shared" si="59"/>
        <v>30</v>
      </c>
      <c r="C397" s="56">
        <f t="shared" si="60"/>
        <v>31639.134794684414</v>
      </c>
      <c r="D397" s="56">
        <f t="shared" si="61"/>
        <v>6395.2185840332877</v>
      </c>
      <c r="E397" s="15">
        <f t="shared" si="62"/>
        <v>112.0552690645073</v>
      </c>
      <c r="F397" s="56">
        <f t="shared" si="63"/>
        <v>6283.1633149687805</v>
      </c>
      <c r="G397" s="56">
        <f t="shared" si="64"/>
        <v>25355.971479715634</v>
      </c>
      <c r="H397" s="3">
        <f t="shared" si="65"/>
        <v>5700</v>
      </c>
      <c r="I397" s="15">
        <f t="shared" si="66"/>
        <v>833.33333333333337</v>
      </c>
      <c r="J397" s="56">
        <f t="shared" si="67"/>
        <v>-1528.5519173666207</v>
      </c>
      <c r="K397" s="13">
        <f t="shared" si="68"/>
        <v>-544164.48258251755</v>
      </c>
    </row>
    <row r="398" spans="1:11" ht="22.05" customHeight="1" outlineLevel="1" x14ac:dyDescent="0.25">
      <c r="A398" s="55">
        <f t="shared" si="58"/>
        <v>357</v>
      </c>
      <c r="B398" s="55">
        <f t="shared" si="59"/>
        <v>30</v>
      </c>
      <c r="C398" s="56">
        <f t="shared" si="60"/>
        <v>25355.971479715634</v>
      </c>
      <c r="D398" s="56">
        <f t="shared" si="61"/>
        <v>6395.2185840332877</v>
      </c>
      <c r="E398" s="15">
        <f t="shared" si="62"/>
        <v>89.80239899065954</v>
      </c>
      <c r="F398" s="56">
        <f t="shared" si="63"/>
        <v>6305.4161850426281</v>
      </c>
      <c r="G398" s="56">
        <f t="shared" si="64"/>
        <v>19050.555294673006</v>
      </c>
      <c r="H398" s="3">
        <f t="shared" si="65"/>
        <v>5700</v>
      </c>
      <c r="I398" s="15">
        <f t="shared" si="66"/>
        <v>833.33333333333337</v>
      </c>
      <c r="J398" s="56">
        <f t="shared" si="67"/>
        <v>-1528.5519173666207</v>
      </c>
      <c r="K398" s="13">
        <f t="shared" si="68"/>
        <v>-545693.03449988412</v>
      </c>
    </row>
    <row r="399" spans="1:11" ht="22.05" customHeight="1" outlineLevel="1" x14ac:dyDescent="0.25">
      <c r="A399" s="55">
        <f t="shared" si="58"/>
        <v>358</v>
      </c>
      <c r="B399" s="55">
        <f t="shared" si="59"/>
        <v>30</v>
      </c>
      <c r="C399" s="56">
        <f t="shared" si="60"/>
        <v>19050.555294673006</v>
      </c>
      <c r="D399" s="56">
        <f t="shared" si="61"/>
        <v>6395.2185840332877</v>
      </c>
      <c r="E399" s="15">
        <f t="shared" si="62"/>
        <v>67.470716668633571</v>
      </c>
      <c r="F399" s="56">
        <f t="shared" si="63"/>
        <v>6327.7478673646538</v>
      </c>
      <c r="G399" s="56">
        <f t="shared" si="64"/>
        <v>12722.807427308351</v>
      </c>
      <c r="H399" s="3">
        <f t="shared" si="65"/>
        <v>5700</v>
      </c>
      <c r="I399" s="15">
        <f t="shared" si="66"/>
        <v>833.33333333333337</v>
      </c>
      <c r="J399" s="56">
        <f t="shared" si="67"/>
        <v>-1528.5519173666207</v>
      </c>
      <c r="K399" s="13">
        <f t="shared" si="68"/>
        <v>-547221.58641725068</v>
      </c>
    </row>
    <row r="400" spans="1:11" ht="22.05" customHeight="1" outlineLevel="1" x14ac:dyDescent="0.25">
      <c r="A400" s="55">
        <f t="shared" si="58"/>
        <v>359</v>
      </c>
      <c r="B400" s="55">
        <f t="shared" si="59"/>
        <v>30</v>
      </c>
      <c r="C400" s="56">
        <f t="shared" si="60"/>
        <v>12722.807427308351</v>
      </c>
      <c r="D400" s="56">
        <f t="shared" si="61"/>
        <v>6395.2185840332877</v>
      </c>
      <c r="E400" s="15">
        <f t="shared" si="62"/>
        <v>45.059942971717078</v>
      </c>
      <c r="F400" s="56">
        <f t="shared" si="63"/>
        <v>6350.158641061571</v>
      </c>
      <c r="G400" s="56">
        <f t="shared" si="64"/>
        <v>6372.6487862467802</v>
      </c>
      <c r="H400" s="3">
        <f t="shared" si="65"/>
        <v>5700</v>
      </c>
      <c r="I400" s="15">
        <f t="shared" si="66"/>
        <v>833.33333333333337</v>
      </c>
      <c r="J400" s="56">
        <f t="shared" si="67"/>
        <v>-1528.5519173666207</v>
      </c>
      <c r="K400" s="13">
        <f t="shared" si="68"/>
        <v>-548750.13833461725</v>
      </c>
    </row>
    <row r="401" spans="1:11" ht="22.05" customHeight="1" outlineLevel="1" x14ac:dyDescent="0.25">
      <c r="A401" s="55">
        <f t="shared" si="58"/>
        <v>360</v>
      </c>
      <c r="B401" s="55">
        <f t="shared" si="59"/>
        <v>30</v>
      </c>
      <c r="C401" s="56">
        <f t="shared" si="60"/>
        <v>6372.6487862467802</v>
      </c>
      <c r="D401" s="56">
        <f t="shared" si="61"/>
        <v>6395.2185840332877</v>
      </c>
      <c r="E401" s="15">
        <f t="shared" si="62"/>
        <v>22.569797784624015</v>
      </c>
      <c r="F401" s="56">
        <f t="shared" si="63"/>
        <v>6372.6487862486638</v>
      </c>
      <c r="G401" s="56">
        <f t="shared" si="64"/>
        <v>0</v>
      </c>
      <c r="H401" s="3">
        <f t="shared" si="65"/>
        <v>5700</v>
      </c>
      <c r="I401" s="15">
        <f t="shared" si="66"/>
        <v>833.33333333333337</v>
      </c>
      <c r="J401" s="56">
        <f t="shared" si="67"/>
        <v>-1528.5519173666207</v>
      </c>
      <c r="K401" s="13">
        <f t="shared" si="68"/>
        <v>-550278.69025198382</v>
      </c>
    </row>
  </sheetData>
  <mergeCells count="6">
    <mergeCell ref="N49:V49"/>
    <mergeCell ref="A1:V2"/>
    <mergeCell ref="A3:D3"/>
    <mergeCell ref="F3:L3"/>
    <mergeCell ref="N3:Q3"/>
    <mergeCell ref="S3:V3"/>
  </mergeCells>
  <conditionalFormatting sqref="R60">
    <cfRule type="cellIs" dxfId="10" priority="1" operator="lessThan">
      <formula>0</formula>
    </cfRule>
  </conditionalFormatting>
  <conditionalFormatting sqref="R60">
    <cfRule type="cellIs" dxfId="9" priority="2" operator="greaterThanOrEqual">
      <formula>0</formula>
    </cfRule>
  </conditionalFormatting>
  <conditionalFormatting sqref="N60">
    <cfRule type="cellIs" dxfId="8" priority="3" operator="lessThan">
      <formula>0</formula>
    </cfRule>
  </conditionalFormatting>
  <conditionalFormatting sqref="N60">
    <cfRule type="cellIs" dxfId="7" priority="4" operator="greaterThanOrEqual">
      <formula>0</formula>
    </cfRule>
  </conditionalFormatting>
  <conditionalFormatting sqref="R61">
    <cfRule type="cellIs" dxfId="6" priority="5" operator="lessThan">
      <formula>0</formula>
    </cfRule>
  </conditionalFormatting>
  <conditionalFormatting sqref="R62">
    <cfRule type="cellIs" dxfId="5" priority="6" operator="lessThan">
      <formula>0</formula>
    </cfRule>
  </conditionalFormatting>
  <conditionalFormatting sqref="R58">
    <cfRule type="cellIs" dxfId="4" priority="7" operator="lessThan">
      <formula>0</formula>
    </cfRule>
  </conditionalFormatting>
  <conditionalFormatting sqref="W8">
    <cfRule type="expression" dxfId="0" priority="8">
      <formula>$T$8="מחושב"</formula>
    </cfRule>
  </conditionalFormatting>
  <dataValidations count="4">
    <dataValidation type="list" allowBlank="1" showInputMessage="1" showErrorMessage="1" sqref="G9:L9" xr:uid="{7F32F32A-BC19-45DA-8DE8-A5437461DD30}">
      <formula1>"שפיצר,קרן שווה,בלון מלא,בלון חלקי"</formula1>
    </dataValidation>
    <dataValidation type="list" allowBlank="1" showInputMessage="1" showErrorMessage="1" sqref="B13" xr:uid="{7B1C9FC9-FB37-4BBD-8C98-E22B1F9B6706}">
      <formula1>"דירה יחידה,השקעה"</formula1>
    </dataValidation>
    <dataValidation type="list" allowBlank="1" showInputMessage="1" showErrorMessage="1" sqref="B14:B16 B23" xr:uid="{A6FB8088-26E2-4CB4-BC6D-A4CD910915BD}">
      <formula1>"אוטומטי,ידני"</formula1>
    </dataValidation>
    <dataValidation type="list" allowBlank="1" showInputMessage="1" showErrorMessage="1" promptTitle="מקור מחיר מכירה" prompt="מחושב = מקושר ל-P29 (מחיר עתידי מ-מ&quot;ר). ידני = הקלד מחיר ב-W8." sqref="T8" xr:uid="{400D4E5B-80D5-494B-9C31-D841C61540A4}">
      <formula1>"מחושב,ידני"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מודל נדל"ן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מולי פשדמיסיקי</dc:creator>
  <cp:lastModifiedBy>מולי פשדמיסיקי</cp:lastModifiedBy>
  <dcterms:created xsi:type="dcterms:W3CDTF">2026-04-28T08:02:57Z</dcterms:created>
  <dcterms:modified xsi:type="dcterms:W3CDTF">2026-05-28T09:57:48Z</dcterms:modified>
</cp:coreProperties>
</file>